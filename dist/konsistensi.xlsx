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023\Susenas\Maret\Aplikasi\"/>
    </mc:Choice>
  </mc:AlternateContent>
  <xr:revisionPtr revIDLastSave="0" documentId="13_ncr:1_{BDD23705-0F05-4928-9FEB-F9F05A80570E}" xr6:coauthVersionLast="47" xr6:coauthVersionMax="47" xr10:uidLastSave="{00000000-0000-0000-0000-000000000000}"/>
  <bookViews>
    <workbookView xWindow="-105" yWindow="0" windowWidth="14610" windowHeight="15585" activeTab="2" xr2:uid="{C56AACCE-9779-6A43-99E1-36DB4C7AE1E4}"/>
  </bookViews>
  <sheets>
    <sheet name="Sheet1" sheetId="1" r:id="rId1"/>
    <sheet name="awal" sheetId="4" r:id="rId2"/>
    <sheet name="sort kp" sheetId="8" r:id="rId3"/>
  </sheets>
  <definedNames>
    <definedName name="_xlnm._FilterDatabase" localSheetId="1" hidden="1">awal!$A$2:$R$166</definedName>
    <definedName name="_xlnm._FilterDatabase" localSheetId="0" hidden="1">Sheet1!$A$1:$H$165</definedName>
    <definedName name="_xlnm._FilterDatabase" localSheetId="2" hidden="1">'sort kp'!$A$2:$L$155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56" i="8" l="1"/>
  <c r="R157" i="8"/>
  <c r="R158" i="8"/>
  <c r="R159" i="8"/>
  <c r="R160" i="8"/>
  <c r="R161" i="8"/>
  <c r="R162" i="8"/>
  <c r="R163" i="8"/>
  <c r="R164" i="8"/>
  <c r="R165" i="8"/>
  <c r="R166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I156" i="4"/>
  <c r="I157" i="4"/>
  <c r="I158" i="4"/>
  <c r="I159" i="4"/>
  <c r="I160" i="4"/>
  <c r="I161" i="4"/>
  <c r="I162" i="4"/>
  <c r="I163" i="4"/>
  <c r="I164" i="4"/>
  <c r="I165" i="4"/>
  <c r="I166" i="4"/>
  <c r="H156" i="4"/>
  <c r="H157" i="4"/>
  <c r="H158" i="4"/>
  <c r="H159" i="4"/>
  <c r="H160" i="4"/>
  <c r="H161" i="4"/>
  <c r="H162" i="4"/>
  <c r="H163" i="4"/>
  <c r="H164" i="4"/>
  <c r="H165" i="4"/>
  <c r="H166" i="4"/>
  <c r="J6" i="8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G123" i="1"/>
  <c r="H123" i="1"/>
  <c r="G31" i="1"/>
  <c r="F31" i="1" s="1"/>
  <c r="H31" i="1"/>
  <c r="G21" i="1"/>
  <c r="H21" i="1"/>
  <c r="G20" i="1"/>
  <c r="H20" i="1"/>
  <c r="F20" i="1" s="1"/>
  <c r="G163" i="4" l="1"/>
  <c r="F21" i="1"/>
  <c r="R3" i="8"/>
  <c r="J155" i="8"/>
  <c r="J154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27" i="8"/>
  <c r="J122" i="8"/>
  <c r="J116" i="8"/>
  <c r="J115" i="8"/>
  <c r="J114" i="8"/>
  <c r="J112" i="8"/>
  <c r="J110" i="8"/>
  <c r="J109" i="8"/>
  <c r="J108" i="8"/>
  <c r="J106" i="8"/>
  <c r="J105" i="8"/>
  <c r="J104" i="8"/>
  <c r="J103" i="8"/>
  <c r="J102" i="8"/>
  <c r="J100" i="8"/>
  <c r="J99" i="8"/>
  <c r="J98" i="8"/>
  <c r="J97" i="8"/>
  <c r="J95" i="8"/>
  <c r="J94" i="8"/>
  <c r="J93" i="8"/>
  <c r="J92" i="8"/>
  <c r="J91" i="8"/>
  <c r="J90" i="8"/>
  <c r="J89" i="8"/>
  <c r="J88" i="8"/>
  <c r="J87" i="8"/>
  <c r="J86" i="8"/>
  <c r="J85" i="8"/>
  <c r="J84" i="8"/>
  <c r="J82" i="8"/>
  <c r="J81" i="8"/>
  <c r="J79" i="8"/>
  <c r="J78" i="8"/>
  <c r="J77" i="8"/>
  <c r="J76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6" i="8"/>
  <c r="J25" i="8"/>
  <c r="J23" i="8"/>
  <c r="J22" i="8"/>
  <c r="J21" i="8"/>
  <c r="J20" i="8"/>
  <c r="J19" i="8"/>
  <c r="J17" i="8"/>
  <c r="J16" i="8"/>
  <c r="J11" i="8"/>
  <c r="J10" i="8"/>
  <c r="J5" i="8"/>
  <c r="J4" i="8"/>
  <c r="J3" i="8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H2" i="1"/>
  <c r="H3" i="4"/>
  <c r="G2" i="1"/>
  <c r="F2" i="1" s="1"/>
  <c r="H3" i="1"/>
  <c r="H4" i="1"/>
  <c r="H5" i="1"/>
  <c r="H6" i="1"/>
  <c r="H7" i="1"/>
  <c r="H8" i="1"/>
  <c r="H9" i="1"/>
  <c r="H10" i="1"/>
  <c r="H11" i="1"/>
  <c r="H12" i="1"/>
  <c r="H13" i="1"/>
  <c r="H14" i="1"/>
  <c r="H17" i="1"/>
  <c r="H18" i="1"/>
  <c r="H19" i="1"/>
  <c r="H22" i="1"/>
  <c r="H23" i="1"/>
  <c r="H26" i="1"/>
  <c r="H27" i="1"/>
  <c r="H28" i="1"/>
  <c r="H29" i="1"/>
  <c r="H30" i="1"/>
  <c r="H32" i="1"/>
  <c r="H33" i="1"/>
  <c r="H34" i="1"/>
  <c r="H35" i="1"/>
  <c r="H36" i="1"/>
  <c r="H38" i="1"/>
  <c r="H39" i="1"/>
  <c r="H40" i="1"/>
  <c r="H41" i="1"/>
  <c r="H42" i="1"/>
  <c r="H43" i="1"/>
  <c r="H44" i="1"/>
  <c r="H45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G3" i="1"/>
  <c r="F3" i="1" s="1"/>
  <c r="G4" i="1"/>
  <c r="F4" i="1" s="1"/>
  <c r="G5" i="1"/>
  <c r="G6" i="1"/>
  <c r="G7" i="1"/>
  <c r="G8" i="1"/>
  <c r="G9" i="1"/>
  <c r="F9" i="1" s="1"/>
  <c r="G10" i="1"/>
  <c r="G11" i="1"/>
  <c r="G12" i="1"/>
  <c r="G13" i="1"/>
  <c r="G14" i="1"/>
  <c r="G17" i="1"/>
  <c r="G18" i="1"/>
  <c r="F18" i="1" s="1"/>
  <c r="G19" i="1"/>
  <c r="G22" i="1"/>
  <c r="G23" i="1"/>
  <c r="G26" i="1"/>
  <c r="G27" i="1"/>
  <c r="F27" i="1" s="1"/>
  <c r="G28" i="1"/>
  <c r="G29" i="1"/>
  <c r="G30" i="1"/>
  <c r="G32" i="1"/>
  <c r="G33" i="1"/>
  <c r="G34" i="1"/>
  <c r="G35" i="1"/>
  <c r="F35" i="1" s="1"/>
  <c r="G36" i="1"/>
  <c r="G38" i="1"/>
  <c r="G39" i="1"/>
  <c r="G40" i="1"/>
  <c r="G41" i="1"/>
  <c r="G42" i="1"/>
  <c r="G43" i="1"/>
  <c r="G44" i="1"/>
  <c r="G45" i="1"/>
  <c r="G48" i="1"/>
  <c r="G49" i="1"/>
  <c r="F49" i="1" s="1"/>
  <c r="G50" i="1"/>
  <c r="G51" i="1"/>
  <c r="G52" i="1"/>
  <c r="G53" i="1"/>
  <c r="G54" i="1"/>
  <c r="G55" i="1"/>
  <c r="F55" i="1" s="1"/>
  <c r="G56" i="1"/>
  <c r="G57" i="1"/>
  <c r="G58" i="1"/>
  <c r="G59" i="1"/>
  <c r="G60" i="1"/>
  <c r="G61" i="1"/>
  <c r="F61" i="1" s="1"/>
  <c r="G62" i="1"/>
  <c r="F62" i="1" s="1"/>
  <c r="G63" i="1"/>
  <c r="G64" i="1"/>
  <c r="G65" i="1"/>
  <c r="G66" i="1"/>
  <c r="G67" i="1"/>
  <c r="F67" i="1" s="1"/>
  <c r="G68" i="1"/>
  <c r="G69" i="1"/>
  <c r="G70" i="1"/>
  <c r="G71" i="1"/>
  <c r="G72" i="1"/>
  <c r="G73" i="1"/>
  <c r="F73" i="1" s="1"/>
  <c r="G74" i="1"/>
  <c r="G75" i="1"/>
  <c r="G76" i="1"/>
  <c r="G77" i="1"/>
  <c r="G78" i="1"/>
  <c r="G79" i="1"/>
  <c r="F79" i="1" s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97" i="1" s="1"/>
  <c r="G98" i="1"/>
  <c r="F98" i="1" s="1"/>
  <c r="G99" i="1"/>
  <c r="G100" i="1"/>
  <c r="G101" i="1"/>
  <c r="G102" i="1"/>
  <c r="G103" i="1"/>
  <c r="F103" i="1" s="1"/>
  <c r="G104" i="1"/>
  <c r="G105" i="1"/>
  <c r="G106" i="1"/>
  <c r="G107" i="1"/>
  <c r="G108" i="1"/>
  <c r="G109" i="1"/>
  <c r="F109" i="1" s="1"/>
  <c r="G110" i="1"/>
  <c r="F110" i="1" s="1"/>
  <c r="G111" i="1"/>
  <c r="G112" i="1"/>
  <c r="G113" i="1"/>
  <c r="G114" i="1"/>
  <c r="G115" i="1"/>
  <c r="G116" i="1"/>
  <c r="G117" i="1"/>
  <c r="G118" i="1"/>
  <c r="G119" i="1"/>
  <c r="G120" i="1"/>
  <c r="G121" i="1"/>
  <c r="F121" i="1" s="1"/>
  <c r="G122" i="1"/>
  <c r="G124" i="1"/>
  <c r="G125" i="1"/>
  <c r="G126" i="1"/>
  <c r="G127" i="1"/>
  <c r="G128" i="1"/>
  <c r="F128" i="1" s="1"/>
  <c r="G129" i="1"/>
  <c r="G130" i="1"/>
  <c r="G131" i="1"/>
  <c r="G132" i="1"/>
  <c r="G133" i="1"/>
  <c r="G134" i="1"/>
  <c r="F134" i="1" s="1"/>
  <c r="G135" i="1"/>
  <c r="F135" i="1" s="1"/>
  <c r="G136" i="1"/>
  <c r="G137" i="1"/>
  <c r="G138" i="1"/>
  <c r="G139" i="1"/>
  <c r="G140" i="1"/>
  <c r="F140" i="1" s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H4" i="4"/>
  <c r="G4" i="4" s="1"/>
  <c r="H5" i="4"/>
  <c r="H6" i="4"/>
  <c r="H7" i="4"/>
  <c r="H8" i="4"/>
  <c r="G8" i="4" s="1"/>
  <c r="H9" i="4"/>
  <c r="H10" i="4"/>
  <c r="H11" i="4"/>
  <c r="H12" i="4"/>
  <c r="G12" i="4" s="1"/>
  <c r="H13" i="4"/>
  <c r="H14" i="4"/>
  <c r="H15" i="4"/>
  <c r="H16" i="4"/>
  <c r="H17" i="4"/>
  <c r="H18" i="4"/>
  <c r="H19" i="4"/>
  <c r="H20" i="4"/>
  <c r="G20" i="4" s="1"/>
  <c r="H21" i="4"/>
  <c r="H22" i="4"/>
  <c r="H23" i="4"/>
  <c r="H24" i="4"/>
  <c r="G24" i="4" s="1"/>
  <c r="H25" i="4"/>
  <c r="H26" i="4"/>
  <c r="H27" i="4"/>
  <c r="H28" i="4"/>
  <c r="G28" i="4" s="1"/>
  <c r="H29" i="4"/>
  <c r="H30" i="4"/>
  <c r="H31" i="4"/>
  <c r="H32" i="4"/>
  <c r="G32" i="4" s="1"/>
  <c r="H33" i="4"/>
  <c r="H34" i="4"/>
  <c r="H35" i="4"/>
  <c r="H36" i="4"/>
  <c r="G36" i="4" s="1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G56" i="4" s="1"/>
  <c r="H57" i="4"/>
  <c r="H58" i="4"/>
  <c r="H59" i="4"/>
  <c r="H60" i="4"/>
  <c r="G60" i="4" s="1"/>
  <c r="H61" i="4"/>
  <c r="H62" i="4"/>
  <c r="H63" i="4"/>
  <c r="H64" i="4"/>
  <c r="G64" i="4" s="1"/>
  <c r="H65" i="4"/>
  <c r="H66" i="4"/>
  <c r="H67" i="4"/>
  <c r="H68" i="4"/>
  <c r="G68" i="4" s="1"/>
  <c r="H69" i="4"/>
  <c r="H70" i="4"/>
  <c r="H71" i="4"/>
  <c r="H72" i="4"/>
  <c r="H73" i="4"/>
  <c r="H74" i="4"/>
  <c r="H75" i="4"/>
  <c r="H76" i="4"/>
  <c r="G76" i="4" s="1"/>
  <c r="H77" i="4"/>
  <c r="H78" i="4"/>
  <c r="H79" i="4"/>
  <c r="H80" i="4"/>
  <c r="G80" i="4" s="1"/>
  <c r="H81" i="4"/>
  <c r="H82" i="4"/>
  <c r="H83" i="4"/>
  <c r="H84" i="4"/>
  <c r="G84" i="4" s="1"/>
  <c r="H85" i="4"/>
  <c r="H86" i="4"/>
  <c r="H87" i="4"/>
  <c r="H88" i="4"/>
  <c r="G88" i="4" s="1"/>
  <c r="H89" i="4"/>
  <c r="H90" i="4"/>
  <c r="H91" i="4"/>
  <c r="H92" i="4"/>
  <c r="H93" i="4"/>
  <c r="H94" i="4"/>
  <c r="H95" i="4"/>
  <c r="H96" i="4"/>
  <c r="H97" i="4"/>
  <c r="H98" i="4"/>
  <c r="H99" i="4"/>
  <c r="H100" i="4"/>
  <c r="G100" i="4" s="1"/>
  <c r="H101" i="4"/>
  <c r="H102" i="4"/>
  <c r="H103" i="4"/>
  <c r="H104" i="4"/>
  <c r="G104" i="4" s="1"/>
  <c r="H105" i="4"/>
  <c r="H106" i="4"/>
  <c r="H107" i="4"/>
  <c r="H108" i="4"/>
  <c r="G108" i="4" s="1"/>
  <c r="H109" i="4"/>
  <c r="H110" i="4"/>
  <c r="H111" i="4"/>
  <c r="H112" i="4"/>
  <c r="G112" i="4" s="1"/>
  <c r="H113" i="4"/>
  <c r="H114" i="4"/>
  <c r="H115" i="4"/>
  <c r="H116" i="4"/>
  <c r="H117" i="4"/>
  <c r="H118" i="4"/>
  <c r="H119" i="4"/>
  <c r="H120" i="4"/>
  <c r="G120" i="4" s="1"/>
  <c r="H121" i="4"/>
  <c r="H122" i="4"/>
  <c r="H123" i="4"/>
  <c r="H124" i="4"/>
  <c r="H125" i="4"/>
  <c r="H126" i="4"/>
  <c r="H127" i="4"/>
  <c r="H128" i="4"/>
  <c r="G128" i="4" s="1"/>
  <c r="H129" i="4"/>
  <c r="H130" i="4"/>
  <c r="H131" i="4"/>
  <c r="H132" i="4"/>
  <c r="H133" i="4"/>
  <c r="H134" i="4"/>
  <c r="H135" i="4"/>
  <c r="H136" i="4"/>
  <c r="G136" i="4" s="1"/>
  <c r="H137" i="4"/>
  <c r="H138" i="4"/>
  <c r="H139" i="4"/>
  <c r="H140" i="4"/>
  <c r="G140" i="4" s="1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J3" i="4"/>
  <c r="K3" i="4" s="1" a="1"/>
  <c r="G150" i="4" l="1"/>
  <c r="G142" i="4"/>
  <c r="G130" i="4"/>
  <c r="G126" i="4"/>
  <c r="G122" i="4"/>
  <c r="G118" i="4"/>
  <c r="G114" i="4"/>
  <c r="G110" i="4"/>
  <c r="G106" i="4"/>
  <c r="G102" i="4"/>
  <c r="G98" i="4"/>
  <c r="G94" i="4"/>
  <c r="G82" i="4"/>
  <c r="G78" i="4"/>
  <c r="G74" i="4"/>
  <c r="G70" i="4"/>
  <c r="G66" i="4"/>
  <c r="G62" i="4"/>
  <c r="G58" i="4"/>
  <c r="G50" i="4"/>
  <c r="G46" i="4"/>
  <c r="G38" i="4"/>
  <c r="G30" i="4"/>
  <c r="G22" i="4"/>
  <c r="G14" i="4"/>
  <c r="G10" i="4"/>
  <c r="G6" i="4"/>
  <c r="G145" i="4"/>
  <c r="G141" i="4"/>
  <c r="G137" i="4"/>
  <c r="G129" i="4"/>
  <c r="G125" i="4"/>
  <c r="G113" i="4"/>
  <c r="G109" i="4"/>
  <c r="G105" i="4"/>
  <c r="G101" i="4"/>
  <c r="G85" i="4"/>
  <c r="G81" i="4"/>
  <c r="G77" i="4"/>
  <c r="G73" i="4"/>
  <c r="G69" i="4"/>
  <c r="G65" i="4"/>
  <c r="G61" i="4"/>
  <c r="G53" i="4"/>
  <c r="G49" i="4"/>
  <c r="G37" i="4"/>
  <c r="G33" i="4"/>
  <c r="G29" i="4"/>
  <c r="G21" i="4"/>
  <c r="G13" i="4"/>
  <c r="G9" i="4"/>
  <c r="G5" i="4"/>
  <c r="K3" i="4"/>
  <c r="N98" i="4"/>
  <c r="N99" i="4"/>
  <c r="G131" i="4"/>
  <c r="G111" i="4"/>
  <c r="G103" i="4"/>
  <c r="G79" i="4"/>
  <c r="G67" i="4"/>
  <c r="G63" i="4"/>
  <c r="G59" i="4"/>
  <c r="G55" i="4"/>
  <c r="G39" i="4"/>
  <c r="G31" i="4"/>
  <c r="G27" i="4"/>
  <c r="G23" i="4"/>
  <c r="G19" i="4"/>
  <c r="G15" i="4"/>
  <c r="G11" i="4"/>
  <c r="G7" i="4"/>
  <c r="G151" i="4"/>
  <c r="G143" i="4"/>
  <c r="G135" i="4"/>
  <c r="G127" i="4"/>
  <c r="G107" i="4"/>
  <c r="G91" i="4"/>
  <c r="G3" i="4"/>
  <c r="F136" i="1"/>
  <c r="F124" i="1"/>
  <c r="F111" i="1"/>
  <c r="F99" i="1"/>
  <c r="F87" i="1"/>
  <c r="F75" i="1"/>
  <c r="F63" i="1"/>
  <c r="F36" i="1"/>
  <c r="F19" i="1"/>
  <c r="F5" i="1"/>
  <c r="F142" i="1"/>
  <c r="F130" i="1"/>
  <c r="F117" i="1"/>
  <c r="F105" i="1"/>
  <c r="F93" i="1"/>
  <c r="F81" i="1"/>
  <c r="F69" i="1"/>
  <c r="F57" i="1"/>
  <c r="F29" i="1"/>
  <c r="F11" i="1"/>
  <c r="F141" i="1"/>
  <c r="F129" i="1"/>
  <c r="F104" i="1"/>
  <c r="F80" i="1"/>
  <c r="F68" i="1"/>
  <c r="F28" i="1"/>
  <c r="F10" i="1"/>
  <c r="J128" i="8"/>
  <c r="J113" i="8"/>
  <c r="J123" i="8"/>
  <c r="J96" i="8"/>
  <c r="J117" i="8"/>
  <c r="J80" i="8"/>
  <c r="J12" i="8"/>
  <c r="J107" i="8"/>
  <c r="J83" i="8"/>
  <c r="J24" i="8"/>
  <c r="J27" i="8"/>
  <c r="J75" i="8"/>
  <c r="J101" i="8"/>
  <c r="J111" i="8"/>
  <c r="J129" i="8"/>
  <c r="J152" i="8"/>
  <c r="F59" i="1"/>
  <c r="F45" i="1"/>
  <c r="F32" i="1"/>
  <c r="F23" i="1"/>
  <c r="F13" i="1"/>
  <c r="F7" i="1"/>
  <c r="F127" i="1"/>
  <c r="F108" i="1"/>
  <c r="F102" i="1"/>
  <c r="F96" i="1"/>
  <c r="F90" i="1"/>
  <c r="F84" i="1"/>
  <c r="F78" i="1"/>
  <c r="F72" i="1"/>
  <c r="F66" i="1"/>
  <c r="F60" i="1"/>
  <c r="F54" i="1"/>
  <c r="F48" i="1"/>
  <c r="F26" i="1"/>
  <c r="F14" i="1"/>
  <c r="F8" i="1"/>
  <c r="F139" i="1"/>
  <c r="F119" i="1"/>
  <c r="F107" i="1"/>
  <c r="F77" i="1"/>
  <c r="F126" i="1"/>
  <c r="F113" i="1"/>
  <c r="F101" i="1"/>
  <c r="F83" i="1"/>
  <c r="F65" i="1"/>
  <c r="F150" i="1"/>
  <c r="F162" i="1"/>
  <c r="F144" i="1"/>
  <c r="F149" i="1"/>
  <c r="F125" i="1"/>
  <c r="F112" i="1"/>
  <c r="F106" i="1"/>
  <c r="F100" i="1"/>
  <c r="F76" i="1"/>
  <c r="F64" i="1"/>
  <c r="F58" i="1"/>
  <c r="F52" i="1"/>
  <c r="F44" i="1"/>
  <c r="F38" i="1"/>
  <c r="F30" i="1"/>
  <c r="F22" i="1"/>
  <c r="F12" i="1"/>
  <c r="F6" i="1"/>
  <c r="A157" i="4" l="1"/>
  <c r="A161" i="4"/>
  <c r="A165" i="4"/>
  <c r="A160" i="4"/>
  <c r="A158" i="4"/>
  <c r="A162" i="4"/>
  <c r="A166" i="4"/>
  <c r="A164" i="4"/>
  <c r="A159" i="4"/>
  <c r="A163" i="4"/>
  <c r="A156" i="4"/>
  <c r="J130" i="8"/>
  <c r="J118" i="8"/>
  <c r="J125" i="8"/>
  <c r="J153" i="8"/>
  <c r="J124" i="8"/>
  <c r="J18" i="8"/>
  <c r="J13" i="8"/>
  <c r="J7" i="8" l="1"/>
  <c r="J14" i="8"/>
  <c r="J119" i="8"/>
  <c r="J126" i="8"/>
  <c r="J131" i="8"/>
  <c r="J132" i="8" l="1"/>
  <c r="J8" i="8"/>
  <c r="J15" i="8"/>
  <c r="J120" i="8"/>
  <c r="J133" i="8" l="1"/>
  <c r="J9" i="8"/>
  <c r="J121" i="8"/>
  <c r="K3" i="8" l="1" a="1"/>
  <c r="N97" i="8" s="1"/>
  <c r="N91" i="8" l="1"/>
  <c r="N92" i="8"/>
  <c r="N93" i="8"/>
  <c r="N94" i="8"/>
  <c r="N95" i="8"/>
  <c r="N96" i="8"/>
  <c r="N5" i="8"/>
  <c r="N9" i="8"/>
  <c r="N13" i="8"/>
  <c r="N17" i="8"/>
  <c r="N21" i="8"/>
  <c r="N25" i="8"/>
  <c r="N29" i="8"/>
  <c r="N33" i="8"/>
  <c r="N37" i="8"/>
  <c r="N41" i="8"/>
  <c r="N45" i="8"/>
  <c r="N49" i="8"/>
  <c r="N53" i="8"/>
  <c r="N57" i="8"/>
  <c r="N61" i="8"/>
  <c r="N65" i="8"/>
  <c r="N69" i="8"/>
  <c r="N73" i="8"/>
  <c r="N77" i="8"/>
  <c r="N81" i="8"/>
  <c r="N85" i="8"/>
  <c r="N89" i="8"/>
  <c r="N8" i="8"/>
  <c r="N20" i="8"/>
  <c r="N32" i="8"/>
  <c r="N44" i="8"/>
  <c r="N60" i="8"/>
  <c r="N72" i="8"/>
  <c r="N84" i="8"/>
  <c r="N6" i="8"/>
  <c r="N10" i="8"/>
  <c r="N14" i="8"/>
  <c r="N18" i="8"/>
  <c r="N22" i="8"/>
  <c r="N26" i="8"/>
  <c r="N30" i="8"/>
  <c r="N34" i="8"/>
  <c r="N38" i="8"/>
  <c r="N42" i="8"/>
  <c r="N46" i="8"/>
  <c r="N50" i="8"/>
  <c r="N54" i="8"/>
  <c r="N58" i="8"/>
  <c r="N62" i="8"/>
  <c r="N66" i="8"/>
  <c r="N70" i="8"/>
  <c r="N74" i="8"/>
  <c r="N78" i="8"/>
  <c r="N82" i="8"/>
  <c r="N86" i="8"/>
  <c r="N90" i="8"/>
  <c r="N24" i="8"/>
  <c r="N40" i="8"/>
  <c r="N56" i="8"/>
  <c r="N68" i="8"/>
  <c r="N76" i="8"/>
  <c r="N88" i="8"/>
  <c r="N7" i="8"/>
  <c r="N11" i="8"/>
  <c r="N15" i="8"/>
  <c r="N19" i="8"/>
  <c r="N23" i="8"/>
  <c r="N27" i="8"/>
  <c r="N31" i="8"/>
  <c r="N35" i="8"/>
  <c r="N39" i="8"/>
  <c r="N43" i="8"/>
  <c r="N47" i="8"/>
  <c r="N51" i="8"/>
  <c r="N55" i="8"/>
  <c r="N59" i="8"/>
  <c r="N63" i="8"/>
  <c r="N67" i="8"/>
  <c r="N71" i="8"/>
  <c r="N75" i="8"/>
  <c r="N79" i="8"/>
  <c r="N83" i="8"/>
  <c r="N87" i="8"/>
  <c r="N4" i="8"/>
  <c r="N12" i="8"/>
  <c r="N16" i="8"/>
  <c r="N28" i="8"/>
  <c r="N36" i="8"/>
  <c r="N48" i="8"/>
  <c r="N52" i="8"/>
  <c r="N64" i="8"/>
  <c r="N80" i="8"/>
  <c r="K3" i="8"/>
  <c r="N3" i="8" s="1"/>
  <c r="N88" i="4" l="1"/>
  <c r="N97" i="4"/>
  <c r="N53" i="4"/>
  <c r="N63" i="4"/>
  <c r="N8" i="4"/>
  <c r="N30" i="4"/>
  <c r="N20" i="4"/>
  <c r="N86" i="4"/>
  <c r="N7" i="4"/>
  <c r="N48" i="4"/>
  <c r="N94" i="4"/>
  <c r="N92" i="4"/>
  <c r="N35" i="4"/>
  <c r="N32" i="4"/>
  <c r="N43" i="4"/>
  <c r="N52" i="4"/>
  <c r="N31" i="4"/>
  <c r="N69" i="4"/>
  <c r="N75" i="4"/>
  <c r="N80" i="4"/>
  <c r="N21" i="4"/>
  <c r="N56" i="4"/>
  <c r="N38" i="4"/>
  <c r="N22" i="4"/>
  <c r="N27" i="4"/>
  <c r="N6" i="4"/>
  <c r="N47" i="4"/>
  <c r="N78" i="4"/>
  <c r="N45" i="4"/>
  <c r="N23" i="4"/>
  <c r="N50" i="4"/>
  <c r="N54" i="4"/>
  <c r="N81" i="4"/>
  <c r="N5" i="4"/>
  <c r="N83" i="4"/>
  <c r="N17" i="4"/>
  <c r="N93" i="4"/>
  <c r="N85" i="4"/>
  <c r="N19" i="4"/>
  <c r="N12" i="4"/>
  <c r="N26" i="4"/>
  <c r="N11" i="4"/>
  <c r="N42" i="4"/>
  <c r="N76" i="4"/>
  <c r="N15" i="4"/>
  <c r="N28" i="4"/>
  <c r="N96" i="4"/>
  <c r="N59" i="4"/>
  <c r="N25" i="4"/>
  <c r="N16" i="4"/>
  <c r="N49" i="4"/>
  <c r="N10" i="4"/>
  <c r="N24" i="4"/>
  <c r="N91" i="4"/>
  <c r="N44" i="4"/>
  <c r="N89" i="4"/>
  <c r="N67" i="4"/>
  <c r="N95" i="4"/>
  <c r="N9" i="4"/>
  <c r="N55" i="4"/>
  <c r="N87" i="4"/>
  <c r="N58" i="4"/>
  <c r="N90" i="4"/>
  <c r="N36" i="4"/>
  <c r="N34" i="4"/>
  <c r="N13" i="4"/>
  <c r="N33" i="4"/>
  <c r="N14" i="4"/>
  <c r="N66" i="4"/>
  <c r="N79" i="4"/>
  <c r="N41" i="4"/>
  <c r="N64" i="4"/>
  <c r="N71" i="4"/>
  <c r="N72" i="4"/>
  <c r="N40" i="4"/>
  <c r="N18" i="4"/>
  <c r="N74" i="4"/>
  <c r="N62" i="4"/>
  <c r="N82" i="4"/>
  <c r="N37" i="4"/>
  <c r="N77" i="4"/>
  <c r="N73" i="4"/>
  <c r="N57" i="4"/>
  <c r="N29" i="4"/>
  <c r="N65" i="4"/>
  <c r="N51" i="4"/>
  <c r="N68" i="4"/>
  <c r="N84" i="4"/>
  <c r="N46" i="4"/>
  <c r="N4" i="4"/>
  <c r="N70" i="4"/>
  <c r="N60" i="4"/>
  <c r="N39" i="4"/>
  <c r="N61" i="4"/>
  <c r="A83" i="4" l="1"/>
  <c r="R83" i="4" s="1"/>
  <c r="A62" i="4"/>
  <c r="R62" i="4" s="1"/>
  <c r="A23" i="4"/>
  <c r="R23" i="4" s="1"/>
  <c r="A7" i="4"/>
  <c r="R7" i="4" s="1"/>
  <c r="A95" i="4"/>
  <c r="R95" i="4" s="1"/>
  <c r="A129" i="4"/>
  <c r="R129" i="4" s="1"/>
  <c r="A79" i="4"/>
  <c r="R79" i="4" s="1"/>
  <c r="A97" i="4"/>
  <c r="R97" i="4" s="1"/>
  <c r="A94" i="4"/>
  <c r="R94" i="4" s="1"/>
  <c r="A71" i="4"/>
  <c r="R71" i="4" s="1"/>
  <c r="A103" i="4"/>
  <c r="R103" i="4" s="1"/>
  <c r="A143" i="4"/>
  <c r="R143" i="4" s="1"/>
  <c r="A125" i="4"/>
  <c r="R125" i="4" s="1"/>
  <c r="A148" i="4"/>
  <c r="R148" i="4" s="1"/>
  <c r="A102" i="4"/>
  <c r="R102" i="4" s="1"/>
  <c r="A92" i="4"/>
  <c r="R92" i="4" s="1"/>
  <c r="A128" i="4"/>
  <c r="R128" i="4" s="1"/>
  <c r="A60" i="4"/>
  <c r="R60" i="4" s="1"/>
  <c r="A51" i="4"/>
  <c r="R51" i="4" s="1"/>
  <c r="A138" i="4"/>
  <c r="R138" i="4" s="1"/>
  <c r="A11" i="4"/>
  <c r="R11" i="4" s="1"/>
  <c r="A68" i="4"/>
  <c r="R68" i="4" s="1"/>
  <c r="A139" i="4"/>
  <c r="R139" i="4" s="1"/>
  <c r="A57" i="4"/>
  <c r="R57" i="4" s="1"/>
  <c r="A123" i="4"/>
  <c r="R123" i="4" s="1"/>
  <c r="A140" i="4"/>
  <c r="R140" i="4" s="1"/>
  <c r="A29" i="4"/>
  <c r="R29" i="4" s="1"/>
  <c r="A50" i="4"/>
  <c r="R50" i="4" s="1"/>
  <c r="A145" i="4"/>
  <c r="R145" i="4" s="1"/>
  <c r="A154" i="4"/>
  <c r="R154" i="4" s="1"/>
  <c r="A116" i="4"/>
  <c r="R116" i="4" s="1"/>
  <c r="A14" i="4"/>
  <c r="R14" i="4" s="1"/>
  <c r="A6" i="4"/>
  <c r="R6" i="4" s="1"/>
  <c r="A21" i="4"/>
  <c r="R21" i="4" s="1"/>
  <c r="A115" i="4"/>
  <c r="R115" i="4" s="1"/>
  <c r="A121" i="4"/>
  <c r="R121" i="4" s="1"/>
  <c r="A80" i="4"/>
  <c r="R80" i="4" s="1"/>
  <c r="A114" i="4"/>
  <c r="R114" i="4" s="1"/>
  <c r="A41" i="4"/>
  <c r="R41" i="4" s="1"/>
  <c r="A26" i="4"/>
  <c r="R26" i="4" s="1"/>
  <c r="A72" i="4"/>
  <c r="R72" i="4" s="1"/>
  <c r="A74" i="4"/>
  <c r="R74" i="4" s="1"/>
  <c r="A150" i="4"/>
  <c r="R150" i="4" s="1"/>
  <c r="A120" i="4"/>
  <c r="R120" i="4" s="1"/>
  <c r="A152" i="4"/>
  <c r="R152" i="4" s="1"/>
  <c r="A124" i="4"/>
  <c r="R124" i="4" s="1"/>
  <c r="A77" i="4"/>
  <c r="R77" i="4" s="1"/>
  <c r="A88" i="4"/>
  <c r="R88" i="4" s="1"/>
  <c r="A52" i="4"/>
  <c r="R52" i="4" s="1"/>
  <c r="A87" i="4"/>
  <c r="R87" i="4" s="1"/>
  <c r="A20" i="4"/>
  <c r="R20" i="4" s="1"/>
  <c r="A127" i="4"/>
  <c r="R127" i="4" s="1"/>
  <c r="A91" i="4"/>
  <c r="R91" i="4" s="1"/>
  <c r="A36" i="4"/>
  <c r="R36" i="4" s="1"/>
  <c r="A142" i="4"/>
  <c r="R142" i="4" s="1"/>
  <c r="A82" i="4"/>
  <c r="R82" i="4" s="1"/>
  <c r="A12" i="4"/>
  <c r="R12" i="4" s="1"/>
  <c r="A64" i="4"/>
  <c r="R64" i="4" s="1"/>
  <c r="A105" i="4"/>
  <c r="R105" i="4" s="1"/>
  <c r="A33" i="4"/>
  <c r="R33" i="4" s="1"/>
  <c r="A8" i="4"/>
  <c r="R8" i="4" s="1"/>
  <c r="A96" i="4"/>
  <c r="R96" i="4" s="1"/>
  <c r="A109" i="4"/>
  <c r="R109" i="4" s="1"/>
  <c r="A32" i="4"/>
  <c r="R32" i="4" s="1"/>
  <c r="A42" i="4"/>
  <c r="R42" i="4" s="1"/>
  <c r="A10" i="4"/>
  <c r="R10" i="4" s="1"/>
  <c r="A59" i="4"/>
  <c r="R59" i="4" s="1"/>
  <c r="A137" i="4"/>
  <c r="R137" i="4" s="1"/>
  <c r="A112" i="4"/>
  <c r="R112" i="4" s="1"/>
  <c r="A108" i="4"/>
  <c r="R108" i="4" s="1"/>
  <c r="A149" i="4"/>
  <c r="R149" i="4" s="1"/>
  <c r="A53" i="4"/>
  <c r="R53" i="4" s="1"/>
  <c r="A40" i="4"/>
  <c r="R40" i="4" s="1"/>
  <c r="A118" i="4"/>
  <c r="R118" i="4" s="1"/>
  <c r="A61" i="4"/>
  <c r="R61" i="4" s="1"/>
  <c r="A15" i="4"/>
  <c r="R15" i="4" s="1"/>
  <c r="A54" i="4"/>
  <c r="R54" i="4" s="1"/>
  <c r="A24" i="4"/>
  <c r="R24" i="4" s="1"/>
  <c r="A4" i="4"/>
  <c r="R4" i="4" s="1"/>
  <c r="A122" i="4"/>
  <c r="R122" i="4" s="1"/>
  <c r="A130" i="4"/>
  <c r="R130" i="4" s="1"/>
  <c r="A3" i="4"/>
  <c r="R3" i="4" s="1"/>
  <c r="A89" i="4"/>
  <c r="R89" i="4" s="1"/>
  <c r="A28" i="4"/>
  <c r="R28" i="4" s="1"/>
  <c r="A90" i="4"/>
  <c r="R90" i="4" s="1"/>
  <c r="A43" i="4"/>
  <c r="R43" i="4" s="1"/>
  <c r="A9" i="4"/>
  <c r="R9" i="4" s="1"/>
  <c r="A75" i="4"/>
  <c r="R75" i="4" s="1"/>
  <c r="A73" i="4"/>
  <c r="R73" i="4" s="1"/>
  <c r="A70" i="4"/>
  <c r="R70" i="4" s="1"/>
  <c r="A5" i="4"/>
  <c r="R5" i="4" s="1"/>
  <c r="A133" i="4"/>
  <c r="R133" i="4" s="1"/>
  <c r="A78" i="4"/>
  <c r="R78" i="4" s="1"/>
  <c r="A107" i="4"/>
  <c r="R107" i="4" s="1"/>
  <c r="A126" i="4"/>
  <c r="R126" i="4" s="1"/>
  <c r="A85" i="4"/>
  <c r="R85" i="4" s="1"/>
  <c r="A19" i="4"/>
  <c r="R19" i="4" s="1"/>
  <c r="A16" i="4"/>
  <c r="R16" i="4" s="1"/>
  <c r="A46" i="4"/>
  <c r="R46" i="4" s="1"/>
  <c r="A48" i="4"/>
  <c r="R48" i="4" s="1"/>
  <c r="A30" i="4"/>
  <c r="R30" i="4" s="1"/>
  <c r="A25" i="4"/>
  <c r="R25" i="4" s="1"/>
  <c r="A44" i="4"/>
  <c r="R44" i="4" s="1"/>
  <c r="A18" i="4"/>
  <c r="R18" i="4" s="1"/>
  <c r="A17" i="4"/>
  <c r="R17" i="4" s="1"/>
  <c r="A100" i="4"/>
  <c r="R100" i="4" s="1"/>
  <c r="A49" i="4"/>
  <c r="R49" i="4" s="1"/>
  <c r="A93" i="4"/>
  <c r="R93" i="4" s="1"/>
  <c r="A134" i="4"/>
  <c r="R134" i="4" s="1"/>
  <c r="A135" i="4"/>
  <c r="R135" i="4" s="1"/>
  <c r="A84" i="4"/>
  <c r="R84" i="4" s="1"/>
  <c r="A69" i="4"/>
  <c r="R69" i="4" s="1"/>
  <c r="A55" i="4"/>
  <c r="R55" i="4" s="1"/>
  <c r="A58" i="4"/>
  <c r="R58" i="4" s="1"/>
  <c r="A37" i="4"/>
  <c r="R37" i="4" s="1"/>
  <c r="A155" i="4"/>
  <c r="R155" i="4" s="1"/>
  <c r="A65" i="4"/>
  <c r="R65" i="4" s="1"/>
  <c r="A81" i="4"/>
  <c r="R81" i="4" s="1"/>
  <c r="A132" i="4"/>
  <c r="R132" i="4" s="1"/>
  <c r="A141" i="4"/>
  <c r="R141" i="4" s="1"/>
  <c r="A110" i="4"/>
  <c r="R110" i="4" s="1"/>
  <c r="A35" i="4"/>
  <c r="R35" i="4" s="1"/>
  <c r="A22" i="4"/>
  <c r="R22" i="4" s="1"/>
  <c r="A13" i="4"/>
  <c r="R13" i="4" s="1"/>
  <c r="A99" i="4"/>
  <c r="R99" i="4" s="1"/>
  <c r="A117" i="4"/>
  <c r="R117" i="4" s="1"/>
  <c r="A56" i="4"/>
  <c r="R56" i="4" s="1"/>
  <c r="A39" i="4"/>
  <c r="R39" i="4" s="1"/>
  <c r="A31" i="4"/>
  <c r="R31" i="4" s="1"/>
  <c r="A34" i="4"/>
  <c r="R34" i="4" s="1"/>
  <c r="A131" i="4"/>
  <c r="R131" i="4" s="1"/>
  <c r="A45" i="4"/>
  <c r="R45" i="4" s="1"/>
  <c r="A106" i="4"/>
  <c r="R106" i="4" s="1"/>
  <c r="A47" i="4"/>
  <c r="R47" i="4" s="1"/>
  <c r="A104" i="4"/>
  <c r="R104" i="4" s="1"/>
  <c r="A144" i="4"/>
  <c r="R144" i="4" s="1"/>
  <c r="A111" i="4"/>
  <c r="R111" i="4" s="1"/>
  <c r="A98" i="4"/>
  <c r="R98" i="4" s="1"/>
  <c r="A76" i="4"/>
  <c r="R76" i="4" s="1"/>
  <c r="A151" i="4"/>
  <c r="R151" i="4" s="1"/>
  <c r="A119" i="4"/>
  <c r="R119" i="4" s="1"/>
  <c r="A136" i="4"/>
  <c r="R136" i="4" s="1"/>
  <c r="A63" i="4"/>
  <c r="R63" i="4" s="1"/>
  <c r="A27" i="4"/>
  <c r="R27" i="4" s="1"/>
  <c r="A38" i="4"/>
  <c r="R38" i="4" s="1"/>
  <c r="A146" i="4"/>
  <c r="R146" i="4" s="1"/>
  <c r="N3" i="4"/>
  <c r="A66" i="4"/>
  <c r="R66" i="4" s="1"/>
  <c r="A67" i="4"/>
  <c r="R67" i="4" s="1"/>
  <c r="A101" i="4"/>
  <c r="R101" i="4" s="1"/>
  <c r="A86" i="4"/>
  <c r="R86" i="4" s="1"/>
  <c r="A147" i="4"/>
  <c r="R147" i="4" s="1"/>
  <c r="A113" i="4"/>
  <c r="R113" i="4" s="1"/>
  <c r="A153" i="4"/>
  <c r="R15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<sst xmlns="http://schemas.openxmlformats.org/spreadsheetml/2006/main" count="1400" uniqueCount="121">
  <si>
    <t>Kondisi</t>
  </si>
  <si>
    <t>kondisi</t>
  </si>
  <si>
    <t>&lt;1</t>
  </si>
  <si>
    <t>&lt;5</t>
  </si>
  <si>
    <t>&gt;0</t>
  </si>
  <si>
    <t>&lt;=1</t>
  </si>
  <si>
    <t>=1,2</t>
  </si>
  <si>
    <t>=2</t>
  </si>
  <si>
    <t>=1</t>
  </si>
  <si>
    <t>VE 1b kol 2</t>
  </si>
  <si>
    <t>=1,2,3</t>
  </si>
  <si>
    <t>VA</t>
  </si>
  <si>
    <t>=4,5</t>
  </si>
  <si>
    <t>VB</t>
  </si>
  <si>
    <t>VD 4 kol 2</t>
  </si>
  <si>
    <t>VE 1b kol 3</t>
  </si>
  <si>
    <t>=A</t>
  </si>
  <si>
    <t>=A,B,C,D</t>
  </si>
  <si>
    <t>=B</t>
  </si>
  <si>
    <t>=C</t>
  </si>
  <si>
    <t>=D</t>
  </si>
  <si>
    <t>=E</t>
  </si>
  <si>
    <t>=F</t>
  </si>
  <si>
    <t>=G</t>
  </si>
  <si>
    <t>251+252</t>
  </si>
  <si>
    <t>=H</t>
  </si>
  <si>
    <t>&gt;0 (Nama Bersesuaian)</t>
  </si>
  <si>
    <t>193+194+195+196</t>
  </si>
  <si>
    <t>= 1 dan usia &lt; 21 bulan</t>
  </si>
  <si>
    <t>70+71+72+73+74</t>
  </si>
  <si>
    <t>1504A</t>
  </si>
  <si>
    <t>248+249</t>
  </si>
  <si>
    <t>=1 dan umur anak &lt; 1 tahun</t>
  </si>
  <si>
    <t>=2 dan umur anak &lt; 1 tahun</t>
  </si>
  <si>
    <t>=3,4,6 dan umur anak &lt; 1 tahun</t>
  </si>
  <si>
    <t>=5 dan umur anak &lt; 1 tahun</t>
  </si>
  <si>
    <t>1504B</t>
  </si>
  <si>
    <t>=5</t>
  </si>
  <si>
    <t>=4,6,7,8</t>
  </si>
  <si>
    <t>VC 1 kol 2</t>
  </si>
  <si>
    <t>201+202</t>
  </si>
  <si>
    <t>=3</t>
  </si>
  <si>
    <t>VE 3 kol 3</t>
  </si>
  <si>
    <t>=4</t>
  </si>
  <si>
    <t>VA jumlah kol 6</t>
  </si>
  <si>
    <t>1809D</t>
  </si>
  <si>
    <t>=00</t>
  </si>
  <si>
    <t>=E,F</t>
  </si>
  <si>
    <t>1810A</t>
  </si>
  <si>
    <t>1814A</t>
  </si>
  <si>
    <t>1816A</t>
  </si>
  <si>
    <t>=2,3,4</t>
  </si>
  <si>
    <t>=6</t>
  </si>
  <si>
    <t>=7</t>
  </si>
  <si>
    <t>=8,9</t>
  </si>
  <si>
    <t>=10,11</t>
  </si>
  <si>
    <t>VD 4 kol 3</t>
  </si>
  <si>
    <t>1901A</t>
  </si>
  <si>
    <t>1901B</t>
  </si>
  <si>
    <t>1901C</t>
  </si>
  <si>
    <t>2001E</t>
  </si>
  <si>
    <t>2001H</t>
  </si>
  <si>
    <t>2001J</t>
  </si>
  <si>
    <t>215+217</t>
  </si>
  <si>
    <t>216+218</t>
  </si>
  <si>
    <t>2001K</t>
  </si>
  <si>
    <t>2001M</t>
  </si>
  <si>
    <t>2101A</t>
  </si>
  <si>
    <t>VD jumlah kol 2</t>
  </si>
  <si>
    <t>VE 1a kol 2</t>
  </si>
  <si>
    <t>2101C</t>
  </si>
  <si>
    <t>2201C</t>
  </si>
  <si>
    <t>VE 1b kol 2 +VE 1b kol 3</t>
  </si>
  <si>
    <t>2205A</t>
  </si>
  <si>
    <t>2205B</t>
  </si>
  <si>
    <t>2209A</t>
  </si>
  <si>
    <t>2209B</t>
  </si>
  <si>
    <t>2209C</t>
  </si>
  <si>
    <t>2209D</t>
  </si>
  <si>
    <t>2210B</t>
  </si>
  <si>
    <t>2211A</t>
  </si>
  <si>
    <t>2211B</t>
  </si>
  <si>
    <t>255+256+257+258</t>
  </si>
  <si>
    <t>271+272+273+274+275</t>
  </si>
  <si>
    <t>=8</t>
  </si>
  <si>
    <t>VSEN22.K</t>
  </si>
  <si>
    <t>VSEN22.KP</t>
  </si>
  <si>
    <t>Rincian</t>
  </si>
  <si>
    <t>concate</t>
  </si>
  <si>
    <t>unique</t>
  </si>
  <si>
    <t>id_unique</t>
  </si>
  <si>
    <t xml:space="preserve"> Tanggal &lt; 1 tahun lalu</t>
  </si>
  <si>
    <t>K</t>
  </si>
  <si>
    <t>id_k</t>
  </si>
  <si>
    <t xml:space="preserve"> harus kosong</t>
  </si>
  <si>
    <t>kode_k</t>
  </si>
  <si>
    <t>409 - rincian 407</t>
  </si>
  <si>
    <t>kode_kp</t>
  </si>
  <si>
    <t>urut KP</t>
  </si>
  <si>
    <t>len</t>
  </si>
  <si>
    <t>isV</t>
  </si>
  <si>
    <t>fatal</t>
  </si>
  <si>
    <t>dummysort</t>
  </si>
  <si>
    <t>fatal errtor</t>
  </si>
  <si>
    <t>tambahan</t>
  </si>
  <si>
    <t>edit</t>
  </si>
  <si>
    <t>VE 3 kol 2 + VE 3 kol 3</t>
  </si>
  <si>
    <t>VE 3 kol 4 + VE 3 kol 5</t>
  </si>
  <si>
    <t>236+238+239</t>
  </si>
  <si>
    <t>803+804+805+806</t>
  </si>
  <si>
    <t>VG 2 kol 2</t>
  </si>
  <si>
    <t>184 + 185</t>
  </si>
  <si>
    <t>184+185</t>
  </si>
  <si>
    <t>VII 2 kol 2 + VII 4 kol 2</t>
  </si>
  <si>
    <t>VII 2 kol 4 + VII 4 kol 4</t>
  </si>
  <si>
    <t>1901E</t>
  </si>
  <si>
    <t>VD 4 kol 2 + VD 4 kol 3</t>
  </si>
  <si>
    <t>274+313</t>
  </si>
  <si>
    <t>VE jumlah kol 2 + VE jumlah kol 3</t>
  </si>
  <si>
    <t>2201D</t>
  </si>
  <si>
    <t>=6 dan umur anak &lt; 1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</si>
</sst>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quotePrefix="1" applyFont="1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quotePrefix="1" applyFill="1"/>
    <xf numFmtId="0" fontId="0" fillId="2" borderId="0" xfId="0" quotePrefix="1" applyFill="1"/>
    <xf numFmtId="0" fontId="0" fillId="0" borderId="0" xfId="0" applyAlignment="1">
      <alignment horizontal="center"/>
    </xf>
    <xf numFmtId="0" fontId="3" fillId="4" borderId="0" xfId="0" applyFont="1" applyFill="1"/>
    <xf numFmtId="0" fontId="3" fillId="2" borderId="0" xfId="0" applyFont="1" applyFill="1"/>
    <xf numFmtId="0" fontId="3" fillId="2" borderId="0" xfId="0" quotePrefix="1" applyFont="1" applyFill="1"/>
    <xf numFmtId="0" fontId="3" fillId="2" borderId="0" xfId="0" applyFont="1" applyFill="1" applyAlignment="1">
      <alignment horizontal="left"/>
    </xf>
    <xf numFmtId="0" fontId="3" fillId="5" borderId="0" xfId="0" applyFont="1" applyFill="1"/>
    <xf numFmtId="0" fontId="3" fillId="5" borderId="0" xfId="0" applyFont="1" applyFill="1" applyAlignment="1">
      <alignment horizontal="left"/>
    </xf>
    <xf numFmtId="0" fontId="3" fillId="5" borderId="0" xfId="0" quotePrefix="1" applyFont="1" applyFill="1"/>
    <xf numFmtId="0" fontId="0" fillId="5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F0AB-3C61-354A-BFBB-8FF6EA910203}">
  <dimension ref="A1:K165"/>
  <sheetViews>
    <sheetView workbookViewId="0">
      <selection activeCell="A2" sqref="A2:E165"/>
    </sheetView>
  </sheetViews>
  <sheetFormatPr defaultColWidth="11" defaultRowHeight="15.75" x14ac:dyDescent="0.25"/>
  <cols>
    <col min="1" max="1" width="20.125" style="3" customWidth="1"/>
    <col min="2" max="2" width="25.625" customWidth="1"/>
    <col min="3" max="3" width="19.625" style="3" customWidth="1"/>
    <col min="4" max="4" width="21" customWidth="1"/>
  </cols>
  <sheetData>
    <row r="1" spans="1:11" x14ac:dyDescent="0.25">
      <c r="A1" s="3" t="s">
        <v>87</v>
      </c>
      <c r="B1" t="s">
        <v>0</v>
      </c>
      <c r="C1" s="3" t="s">
        <v>87</v>
      </c>
      <c r="D1" t="s">
        <v>1</v>
      </c>
      <c r="E1" s="5" t="s">
        <v>101</v>
      </c>
      <c r="F1" s="2" t="s">
        <v>102</v>
      </c>
      <c r="G1" s="2" t="s">
        <v>99</v>
      </c>
      <c r="H1" s="2" t="s">
        <v>100</v>
      </c>
    </row>
    <row r="2" spans="1:11" x14ac:dyDescent="0.25">
      <c r="A2" s="3">
        <v>301</v>
      </c>
      <c r="B2" t="s">
        <v>4</v>
      </c>
      <c r="C2" s="3">
        <v>234</v>
      </c>
      <c r="D2" t="s">
        <v>4</v>
      </c>
      <c r="E2" s="6">
        <v>1</v>
      </c>
      <c r="F2">
        <f t="shared" ref="F2:F14" si="0">IF(AND((G2&lt;=3),(H2=0)),C2,"")</f>
        <v>234</v>
      </c>
      <c r="G2">
        <f t="shared" ref="G2:G41" si="1">LEN(C2)</f>
        <v>3</v>
      </c>
      <c r="H2">
        <f t="shared" ref="H2:H41" si="2">IF(LEFT(C2,1)="V",1,0)</f>
        <v>0</v>
      </c>
    </row>
    <row r="3" spans="1:11" x14ac:dyDescent="0.25">
      <c r="A3" s="3">
        <v>301</v>
      </c>
      <c r="B3" t="s">
        <v>4</v>
      </c>
      <c r="C3" s="3">
        <v>241</v>
      </c>
      <c r="D3" t="s">
        <v>4</v>
      </c>
      <c r="E3" s="6">
        <v>1</v>
      </c>
      <c r="F3">
        <f t="shared" si="0"/>
        <v>241</v>
      </c>
      <c r="G3">
        <f t="shared" si="1"/>
        <v>3</v>
      </c>
      <c r="H3">
        <f t="shared" si="2"/>
        <v>0</v>
      </c>
      <c r="J3" s="14"/>
      <c r="K3" t="s">
        <v>104</v>
      </c>
    </row>
    <row r="4" spans="1:11" x14ac:dyDescent="0.25">
      <c r="A4" s="3">
        <v>301</v>
      </c>
      <c r="B4" t="s">
        <v>4</v>
      </c>
      <c r="C4" s="3">
        <v>242</v>
      </c>
      <c r="D4" t="s">
        <v>4</v>
      </c>
      <c r="E4" s="6">
        <v>1</v>
      </c>
      <c r="F4">
        <f t="shared" si="0"/>
        <v>242</v>
      </c>
      <c r="G4">
        <f t="shared" si="1"/>
        <v>3</v>
      </c>
      <c r="H4">
        <f t="shared" si="2"/>
        <v>0</v>
      </c>
      <c r="J4" s="15"/>
      <c r="K4" t="s">
        <v>105</v>
      </c>
    </row>
    <row r="5" spans="1:11" x14ac:dyDescent="0.25">
      <c r="A5" s="3">
        <v>301</v>
      </c>
      <c r="B5" t="s">
        <v>4</v>
      </c>
      <c r="C5" s="3">
        <v>243</v>
      </c>
      <c r="D5" t="s">
        <v>4</v>
      </c>
      <c r="E5" s="6">
        <v>2</v>
      </c>
      <c r="F5">
        <f t="shared" si="0"/>
        <v>243</v>
      </c>
      <c r="G5">
        <f t="shared" si="1"/>
        <v>3</v>
      </c>
      <c r="H5">
        <f t="shared" si="2"/>
        <v>0</v>
      </c>
    </row>
    <row r="6" spans="1:11" x14ac:dyDescent="0.25">
      <c r="A6" s="3">
        <v>301</v>
      </c>
      <c r="B6" t="s">
        <v>4</v>
      </c>
      <c r="C6" s="3">
        <v>247</v>
      </c>
      <c r="D6" t="s">
        <v>4</v>
      </c>
      <c r="E6" s="6">
        <v>2</v>
      </c>
      <c r="F6">
        <f t="shared" si="0"/>
        <v>247</v>
      </c>
      <c r="G6">
        <f t="shared" si="1"/>
        <v>3</v>
      </c>
      <c r="H6">
        <f t="shared" si="2"/>
        <v>0</v>
      </c>
    </row>
    <row r="7" spans="1:11" x14ac:dyDescent="0.25">
      <c r="A7" s="3">
        <v>301</v>
      </c>
      <c r="B7" t="s">
        <v>4</v>
      </c>
      <c r="C7" s="3">
        <v>279</v>
      </c>
      <c r="D7" t="s">
        <v>4</v>
      </c>
      <c r="E7" s="6">
        <v>2</v>
      </c>
      <c r="F7">
        <f t="shared" si="0"/>
        <v>279</v>
      </c>
      <c r="G7">
        <f t="shared" si="1"/>
        <v>3</v>
      </c>
      <c r="H7">
        <f t="shared" si="2"/>
        <v>0</v>
      </c>
    </row>
    <row r="8" spans="1:11" x14ac:dyDescent="0.25">
      <c r="A8" s="3">
        <v>301</v>
      </c>
      <c r="B8" t="s">
        <v>4</v>
      </c>
      <c r="C8" s="3">
        <v>280</v>
      </c>
      <c r="D8" t="s">
        <v>4</v>
      </c>
      <c r="E8" s="6">
        <v>2</v>
      </c>
      <c r="F8">
        <f t="shared" si="0"/>
        <v>280</v>
      </c>
      <c r="G8">
        <f t="shared" si="1"/>
        <v>3</v>
      </c>
      <c r="H8">
        <f t="shared" si="2"/>
        <v>0</v>
      </c>
    </row>
    <row r="9" spans="1:11" x14ac:dyDescent="0.25">
      <c r="A9" s="3">
        <v>403</v>
      </c>
      <c r="B9" s="1" t="s">
        <v>84</v>
      </c>
      <c r="C9" s="3">
        <v>277</v>
      </c>
      <c r="D9" t="s">
        <v>4</v>
      </c>
      <c r="E9">
        <v>1</v>
      </c>
      <c r="F9">
        <f t="shared" si="0"/>
        <v>277</v>
      </c>
      <c r="G9">
        <f t="shared" si="1"/>
        <v>3</v>
      </c>
      <c r="H9">
        <f t="shared" si="2"/>
        <v>0</v>
      </c>
    </row>
    <row r="10" spans="1:11" x14ac:dyDescent="0.25">
      <c r="A10" s="3">
        <v>407</v>
      </c>
      <c r="B10" t="s">
        <v>2</v>
      </c>
      <c r="C10" s="3">
        <v>259</v>
      </c>
      <c r="D10" t="s">
        <v>4</v>
      </c>
      <c r="E10">
        <v>2</v>
      </c>
      <c r="F10">
        <f t="shared" si="0"/>
        <v>259</v>
      </c>
      <c r="G10">
        <f t="shared" si="1"/>
        <v>3</v>
      </c>
      <c r="H10">
        <f t="shared" si="2"/>
        <v>0</v>
      </c>
    </row>
    <row r="11" spans="1:11" x14ac:dyDescent="0.25">
      <c r="A11" s="3">
        <v>407</v>
      </c>
      <c r="B11" t="s">
        <v>2</v>
      </c>
      <c r="C11" s="3">
        <v>264</v>
      </c>
      <c r="D11" t="s">
        <v>4</v>
      </c>
      <c r="E11">
        <v>2</v>
      </c>
      <c r="F11">
        <f t="shared" si="0"/>
        <v>264</v>
      </c>
      <c r="G11">
        <f t="shared" si="1"/>
        <v>3</v>
      </c>
      <c r="H11">
        <f t="shared" si="2"/>
        <v>0</v>
      </c>
    </row>
    <row r="12" spans="1:11" x14ac:dyDescent="0.25">
      <c r="A12" s="3">
        <v>407</v>
      </c>
      <c r="B12" t="s">
        <v>2</v>
      </c>
      <c r="C12" s="3">
        <v>283</v>
      </c>
      <c r="D12" t="s">
        <v>4</v>
      </c>
      <c r="E12">
        <v>1</v>
      </c>
      <c r="F12">
        <f t="shared" si="0"/>
        <v>283</v>
      </c>
      <c r="G12">
        <f t="shared" si="1"/>
        <v>3</v>
      </c>
      <c r="H12">
        <f t="shared" si="2"/>
        <v>0</v>
      </c>
    </row>
    <row r="13" spans="1:11" x14ac:dyDescent="0.25">
      <c r="A13" s="3">
        <v>407</v>
      </c>
      <c r="B13" t="s">
        <v>2</v>
      </c>
      <c r="C13" s="3">
        <v>254</v>
      </c>
      <c r="D13" t="s">
        <v>4</v>
      </c>
      <c r="E13">
        <v>2</v>
      </c>
      <c r="F13">
        <f t="shared" si="0"/>
        <v>254</v>
      </c>
      <c r="G13">
        <f t="shared" si="1"/>
        <v>3</v>
      </c>
      <c r="H13">
        <f t="shared" si="2"/>
        <v>0</v>
      </c>
    </row>
    <row r="14" spans="1:11" x14ac:dyDescent="0.25">
      <c r="A14" s="3">
        <v>407</v>
      </c>
      <c r="B14" t="s">
        <v>2</v>
      </c>
      <c r="C14" s="3">
        <v>319</v>
      </c>
      <c r="D14" t="s">
        <v>4</v>
      </c>
      <c r="E14">
        <v>2</v>
      </c>
      <c r="F14">
        <f t="shared" si="0"/>
        <v>319</v>
      </c>
      <c r="G14">
        <f t="shared" si="1"/>
        <v>3</v>
      </c>
      <c r="H14">
        <f t="shared" si="2"/>
        <v>0</v>
      </c>
    </row>
    <row r="15" spans="1:11" x14ac:dyDescent="0.25">
      <c r="A15" s="13">
        <v>407</v>
      </c>
      <c r="B15" s="14" t="s">
        <v>2</v>
      </c>
      <c r="C15" s="13" t="s">
        <v>106</v>
      </c>
      <c r="D15" s="14" t="s">
        <v>4</v>
      </c>
      <c r="E15" s="14">
        <v>2</v>
      </c>
      <c r="F15" s="14"/>
      <c r="G15" s="14"/>
      <c r="H15" s="14"/>
    </row>
    <row r="16" spans="1:11" x14ac:dyDescent="0.25">
      <c r="A16" s="13">
        <v>407</v>
      </c>
      <c r="B16" s="14" t="s">
        <v>2</v>
      </c>
      <c r="C16" s="13" t="s">
        <v>107</v>
      </c>
      <c r="D16" s="14" t="s">
        <v>4</v>
      </c>
      <c r="E16" s="14">
        <v>2</v>
      </c>
      <c r="F16" s="14"/>
      <c r="G16" s="14"/>
      <c r="H16" s="14"/>
    </row>
    <row r="17" spans="1:8" x14ac:dyDescent="0.25">
      <c r="A17" s="3">
        <v>407</v>
      </c>
      <c r="B17" t="s">
        <v>3</v>
      </c>
      <c r="C17" s="3" t="s">
        <v>29</v>
      </c>
      <c r="D17" t="s">
        <v>4</v>
      </c>
      <c r="E17">
        <v>2</v>
      </c>
      <c r="F17">
        <v>70</v>
      </c>
      <c r="G17">
        <f t="shared" si="1"/>
        <v>14</v>
      </c>
      <c r="H17">
        <f t="shared" si="2"/>
        <v>0</v>
      </c>
    </row>
    <row r="18" spans="1:8" x14ac:dyDescent="0.25">
      <c r="A18" s="3">
        <v>407</v>
      </c>
      <c r="B18" t="s">
        <v>3</v>
      </c>
      <c r="C18" s="3">
        <v>157</v>
      </c>
      <c r="D18" t="s">
        <v>4</v>
      </c>
      <c r="E18">
        <v>2</v>
      </c>
      <c r="F18">
        <f t="shared" ref="F18:F32" si="3">IF(AND((G18&lt;=3),(H18=0)),C18,"")</f>
        <v>157</v>
      </c>
      <c r="G18">
        <f t="shared" si="1"/>
        <v>3</v>
      </c>
      <c r="H18">
        <f t="shared" si="2"/>
        <v>0</v>
      </c>
    </row>
    <row r="19" spans="1:8" x14ac:dyDescent="0.25">
      <c r="A19" s="3">
        <v>407</v>
      </c>
      <c r="B19" t="s">
        <v>3</v>
      </c>
      <c r="C19" s="3">
        <v>301</v>
      </c>
      <c r="D19" t="s">
        <v>4</v>
      </c>
      <c r="E19">
        <v>2</v>
      </c>
      <c r="F19">
        <f t="shared" si="3"/>
        <v>301</v>
      </c>
      <c r="G19">
        <f t="shared" si="1"/>
        <v>3</v>
      </c>
      <c r="H19">
        <f t="shared" si="2"/>
        <v>0</v>
      </c>
    </row>
    <row r="20" spans="1:8" x14ac:dyDescent="0.25">
      <c r="A20" s="13">
        <v>407</v>
      </c>
      <c r="B20" s="14" t="s">
        <v>3</v>
      </c>
      <c r="C20" s="13">
        <v>247</v>
      </c>
      <c r="D20" s="14" t="s">
        <v>4</v>
      </c>
      <c r="E20" s="14">
        <v>2</v>
      </c>
      <c r="F20" s="14">
        <f t="shared" si="3"/>
        <v>247</v>
      </c>
      <c r="G20" s="14">
        <f t="shared" si="1"/>
        <v>3</v>
      </c>
      <c r="H20" s="14">
        <f t="shared" si="2"/>
        <v>0</v>
      </c>
    </row>
    <row r="21" spans="1:8" x14ac:dyDescent="0.25">
      <c r="A21" s="13">
        <v>407</v>
      </c>
      <c r="B21" s="14" t="s">
        <v>3</v>
      </c>
      <c r="C21" s="13">
        <v>283</v>
      </c>
      <c r="D21" s="14" t="s">
        <v>4</v>
      </c>
      <c r="E21" s="14">
        <v>2</v>
      </c>
      <c r="F21" s="14">
        <f t="shared" si="3"/>
        <v>283</v>
      </c>
      <c r="G21" s="14">
        <f t="shared" si="1"/>
        <v>3</v>
      </c>
      <c r="H21" s="14">
        <f t="shared" si="2"/>
        <v>0</v>
      </c>
    </row>
    <row r="22" spans="1:8" x14ac:dyDescent="0.25">
      <c r="A22" s="3" t="s">
        <v>96</v>
      </c>
      <c r="B22" t="s">
        <v>5</v>
      </c>
      <c r="C22" s="3">
        <v>315</v>
      </c>
      <c r="D22" t="s">
        <v>4</v>
      </c>
      <c r="E22">
        <v>1</v>
      </c>
      <c r="F22">
        <f t="shared" si="3"/>
        <v>315</v>
      </c>
      <c r="G22">
        <f t="shared" si="1"/>
        <v>3</v>
      </c>
      <c r="H22">
        <f t="shared" si="2"/>
        <v>0</v>
      </c>
    </row>
    <row r="23" spans="1:8" x14ac:dyDescent="0.25">
      <c r="A23" s="3" t="s">
        <v>96</v>
      </c>
      <c r="B23" t="s">
        <v>5</v>
      </c>
      <c r="C23" s="3">
        <v>279</v>
      </c>
      <c r="D23" t="s">
        <v>4</v>
      </c>
      <c r="E23">
        <v>2</v>
      </c>
      <c r="F23">
        <f t="shared" si="3"/>
        <v>279</v>
      </c>
      <c r="G23">
        <f t="shared" si="1"/>
        <v>3</v>
      </c>
      <c r="H23">
        <f t="shared" si="2"/>
        <v>0</v>
      </c>
    </row>
    <row r="24" spans="1:8" x14ac:dyDescent="0.25">
      <c r="A24" s="13" t="s">
        <v>96</v>
      </c>
      <c r="B24" s="14" t="s">
        <v>5</v>
      </c>
      <c r="C24" s="13" t="s">
        <v>106</v>
      </c>
      <c r="D24" s="14" t="s">
        <v>4</v>
      </c>
      <c r="E24" s="14">
        <v>2</v>
      </c>
      <c r="F24" s="14"/>
      <c r="G24" s="14"/>
      <c r="H24" s="14"/>
    </row>
    <row r="25" spans="1:8" x14ac:dyDescent="0.25">
      <c r="A25" s="13" t="s">
        <v>96</v>
      </c>
      <c r="B25" s="14" t="s">
        <v>5</v>
      </c>
      <c r="C25" s="13" t="s">
        <v>107</v>
      </c>
      <c r="D25" s="14" t="s">
        <v>4</v>
      </c>
      <c r="E25" s="14">
        <v>2</v>
      </c>
      <c r="F25" s="14"/>
      <c r="G25" s="14"/>
      <c r="H25" s="14"/>
    </row>
    <row r="26" spans="1:8" x14ac:dyDescent="0.25">
      <c r="A26" s="3">
        <v>605</v>
      </c>
      <c r="B26" s="1" t="s">
        <v>6</v>
      </c>
      <c r="C26" s="3">
        <v>267</v>
      </c>
      <c r="D26" t="s">
        <v>4</v>
      </c>
      <c r="E26">
        <v>1</v>
      </c>
      <c r="F26">
        <f t="shared" si="3"/>
        <v>267</v>
      </c>
      <c r="G26">
        <f t="shared" si="1"/>
        <v>3</v>
      </c>
      <c r="H26">
        <f t="shared" si="2"/>
        <v>0</v>
      </c>
    </row>
    <row r="27" spans="1:8" x14ac:dyDescent="0.25">
      <c r="A27" s="3">
        <v>605</v>
      </c>
      <c r="B27" t="s">
        <v>6</v>
      </c>
      <c r="C27" s="3">
        <v>269</v>
      </c>
      <c r="D27" t="s">
        <v>4</v>
      </c>
      <c r="E27">
        <v>2</v>
      </c>
      <c r="F27">
        <f t="shared" si="3"/>
        <v>269</v>
      </c>
      <c r="G27">
        <f t="shared" si="1"/>
        <v>3</v>
      </c>
      <c r="H27">
        <f t="shared" si="2"/>
        <v>0</v>
      </c>
    </row>
    <row r="28" spans="1:8" x14ac:dyDescent="0.25">
      <c r="A28" s="3">
        <v>610</v>
      </c>
      <c r="B28" s="1" t="s">
        <v>7</v>
      </c>
      <c r="C28" s="3">
        <v>265</v>
      </c>
      <c r="D28" t="s">
        <v>4</v>
      </c>
      <c r="E28">
        <v>1</v>
      </c>
      <c r="F28">
        <f t="shared" si="3"/>
        <v>265</v>
      </c>
      <c r="G28">
        <f t="shared" si="1"/>
        <v>3</v>
      </c>
      <c r="H28">
        <f t="shared" si="2"/>
        <v>0</v>
      </c>
    </row>
    <row r="29" spans="1:8" x14ac:dyDescent="0.25">
      <c r="A29" s="3">
        <v>610</v>
      </c>
      <c r="B29" t="s">
        <v>7</v>
      </c>
      <c r="C29" s="3">
        <v>266</v>
      </c>
      <c r="D29" t="s">
        <v>4</v>
      </c>
      <c r="E29">
        <v>1</v>
      </c>
      <c r="F29">
        <f t="shared" si="3"/>
        <v>266</v>
      </c>
      <c r="G29">
        <f t="shared" si="1"/>
        <v>3</v>
      </c>
      <c r="H29">
        <f t="shared" si="2"/>
        <v>0</v>
      </c>
    </row>
    <row r="30" spans="1:8" x14ac:dyDescent="0.25">
      <c r="A30" s="3">
        <v>610</v>
      </c>
      <c r="B30" t="s">
        <v>7</v>
      </c>
      <c r="C30" s="3">
        <v>269</v>
      </c>
      <c r="D30" t="s">
        <v>4</v>
      </c>
      <c r="E30">
        <v>1</v>
      </c>
      <c r="F30">
        <f t="shared" si="3"/>
        <v>269</v>
      </c>
      <c r="G30">
        <f t="shared" si="1"/>
        <v>3</v>
      </c>
      <c r="H30">
        <f t="shared" si="2"/>
        <v>0</v>
      </c>
    </row>
    <row r="31" spans="1:8" x14ac:dyDescent="0.25">
      <c r="A31" s="13">
        <v>610</v>
      </c>
      <c r="B31" s="14" t="s">
        <v>7</v>
      </c>
      <c r="C31" s="13">
        <v>268</v>
      </c>
      <c r="D31" s="14" t="s">
        <v>4</v>
      </c>
      <c r="E31" s="14">
        <v>2</v>
      </c>
      <c r="F31" s="14">
        <f t="shared" si="3"/>
        <v>268</v>
      </c>
      <c r="G31" s="14">
        <f t="shared" si="1"/>
        <v>3</v>
      </c>
      <c r="H31" s="14">
        <f t="shared" si="2"/>
        <v>0</v>
      </c>
    </row>
    <row r="32" spans="1:8" x14ac:dyDescent="0.25">
      <c r="A32" s="3">
        <v>616</v>
      </c>
      <c r="B32" s="1" t="s">
        <v>8</v>
      </c>
      <c r="C32" s="3">
        <v>278</v>
      </c>
      <c r="D32" t="s">
        <v>4</v>
      </c>
      <c r="E32">
        <v>2</v>
      </c>
      <c r="F32">
        <f t="shared" si="3"/>
        <v>278</v>
      </c>
      <c r="G32">
        <f t="shared" si="1"/>
        <v>3</v>
      </c>
      <c r="H32">
        <f t="shared" si="2"/>
        <v>0</v>
      </c>
    </row>
    <row r="33" spans="1:8" x14ac:dyDescent="0.25">
      <c r="A33" s="3">
        <v>616</v>
      </c>
      <c r="B33" s="1" t="s">
        <v>8</v>
      </c>
      <c r="C33" s="3" t="s">
        <v>14</v>
      </c>
      <c r="D33" t="s">
        <v>4</v>
      </c>
      <c r="E33">
        <v>2</v>
      </c>
      <c r="F33">
        <v>999</v>
      </c>
      <c r="G33">
        <f t="shared" si="1"/>
        <v>10</v>
      </c>
      <c r="H33">
        <f t="shared" si="2"/>
        <v>1</v>
      </c>
    </row>
    <row r="34" spans="1:8" x14ac:dyDescent="0.25">
      <c r="A34" s="3">
        <v>617</v>
      </c>
      <c r="B34" s="1" t="s">
        <v>8</v>
      </c>
      <c r="C34" s="3" t="s">
        <v>9</v>
      </c>
      <c r="D34" t="s">
        <v>4</v>
      </c>
      <c r="E34">
        <v>1</v>
      </c>
      <c r="F34">
        <v>999</v>
      </c>
      <c r="G34">
        <f t="shared" si="1"/>
        <v>11</v>
      </c>
      <c r="H34">
        <f t="shared" si="2"/>
        <v>1</v>
      </c>
    </row>
    <row r="35" spans="1:8" x14ac:dyDescent="0.25">
      <c r="A35" s="3">
        <v>620</v>
      </c>
      <c r="B35" s="1" t="s">
        <v>7</v>
      </c>
      <c r="C35" s="3">
        <v>266</v>
      </c>
      <c r="D35" t="s">
        <v>4</v>
      </c>
      <c r="E35">
        <v>1</v>
      </c>
      <c r="F35">
        <f>IF(AND((G35&lt;=3),(H35=0)),C35,"")</f>
        <v>266</v>
      </c>
      <c r="G35">
        <f t="shared" si="1"/>
        <v>3</v>
      </c>
      <c r="H35">
        <f t="shared" si="2"/>
        <v>0</v>
      </c>
    </row>
    <row r="36" spans="1:8" x14ac:dyDescent="0.25">
      <c r="A36" s="3">
        <v>620</v>
      </c>
      <c r="B36" t="s">
        <v>7</v>
      </c>
      <c r="C36" s="3">
        <v>269</v>
      </c>
      <c r="D36" t="s">
        <v>4</v>
      </c>
      <c r="E36">
        <v>1</v>
      </c>
      <c r="F36">
        <f>IF(AND((G36&lt;=3),(H36=0)),C36,"")</f>
        <v>269</v>
      </c>
      <c r="G36">
        <f t="shared" si="1"/>
        <v>3</v>
      </c>
      <c r="H36">
        <f t="shared" si="2"/>
        <v>0</v>
      </c>
    </row>
    <row r="37" spans="1:8" x14ac:dyDescent="0.25">
      <c r="A37" s="13">
        <v>620</v>
      </c>
      <c r="B37" s="14" t="s">
        <v>7</v>
      </c>
      <c r="C37" s="13">
        <v>268</v>
      </c>
      <c r="D37" s="14" t="s">
        <v>4</v>
      </c>
      <c r="E37" s="14">
        <v>2</v>
      </c>
      <c r="F37" s="14"/>
      <c r="G37" s="14"/>
      <c r="H37" s="14"/>
    </row>
    <row r="38" spans="1:8" x14ac:dyDescent="0.25">
      <c r="A38" s="3">
        <v>701</v>
      </c>
      <c r="B38" s="1" t="s">
        <v>8</v>
      </c>
      <c r="C38" s="3">
        <v>278</v>
      </c>
      <c r="D38" t="s">
        <v>4</v>
      </c>
      <c r="E38">
        <v>1</v>
      </c>
      <c r="F38">
        <f>IF(AND((G38&lt;=3),(H38=0)),C38,"")</f>
        <v>278</v>
      </c>
      <c r="G38">
        <f t="shared" si="1"/>
        <v>3</v>
      </c>
      <c r="H38">
        <f t="shared" si="2"/>
        <v>0</v>
      </c>
    </row>
    <row r="39" spans="1:8" x14ac:dyDescent="0.25">
      <c r="A39" s="3">
        <v>701</v>
      </c>
      <c r="B39" t="s">
        <v>8</v>
      </c>
      <c r="C39" s="3" t="s">
        <v>14</v>
      </c>
      <c r="D39" t="s">
        <v>4</v>
      </c>
      <c r="E39">
        <v>2</v>
      </c>
      <c r="F39">
        <v>999</v>
      </c>
      <c r="G39">
        <f t="shared" si="1"/>
        <v>10</v>
      </c>
      <c r="H39">
        <f t="shared" si="2"/>
        <v>1</v>
      </c>
    </row>
    <row r="40" spans="1:8" x14ac:dyDescent="0.25">
      <c r="A40" s="3">
        <v>706</v>
      </c>
      <c r="B40" s="1" t="s">
        <v>10</v>
      </c>
      <c r="C40" s="3" t="s">
        <v>13</v>
      </c>
      <c r="D40" t="s">
        <v>26</v>
      </c>
      <c r="E40">
        <v>1</v>
      </c>
      <c r="F40">
        <v>999</v>
      </c>
      <c r="G40">
        <f t="shared" si="1"/>
        <v>2</v>
      </c>
      <c r="H40">
        <f t="shared" si="2"/>
        <v>1</v>
      </c>
    </row>
    <row r="41" spans="1:8" x14ac:dyDescent="0.25">
      <c r="A41" s="3">
        <v>706</v>
      </c>
      <c r="B41" s="1" t="s">
        <v>12</v>
      </c>
      <c r="C41" s="3" t="s">
        <v>11</v>
      </c>
      <c r="D41" t="s">
        <v>26</v>
      </c>
      <c r="E41">
        <v>1</v>
      </c>
      <c r="F41">
        <v>999</v>
      </c>
      <c r="G41">
        <f t="shared" si="1"/>
        <v>2</v>
      </c>
      <c r="H41">
        <f t="shared" si="2"/>
        <v>1</v>
      </c>
    </row>
    <row r="42" spans="1:8" x14ac:dyDescent="0.25">
      <c r="A42" s="3">
        <v>709</v>
      </c>
      <c r="B42" s="1" t="s">
        <v>8</v>
      </c>
      <c r="C42" s="3" t="s">
        <v>9</v>
      </c>
      <c r="D42" t="s">
        <v>4</v>
      </c>
      <c r="E42">
        <v>2</v>
      </c>
      <c r="F42">
        <v>999</v>
      </c>
      <c r="G42">
        <f t="shared" ref="G42:G75" si="4">LEN(C42)</f>
        <v>11</v>
      </c>
      <c r="H42">
        <f t="shared" ref="H42:H75" si="5">IF(LEFT(C42,1)="V",1,0)</f>
        <v>1</v>
      </c>
    </row>
    <row r="43" spans="1:8" x14ac:dyDescent="0.25">
      <c r="A43" s="3">
        <v>709</v>
      </c>
      <c r="B43" t="s">
        <v>8</v>
      </c>
      <c r="C43" s="3" t="s">
        <v>15</v>
      </c>
      <c r="D43" t="s">
        <v>4</v>
      </c>
      <c r="E43">
        <v>2</v>
      </c>
      <c r="F43">
        <v>999</v>
      </c>
      <c r="G43">
        <f t="shared" si="4"/>
        <v>11</v>
      </c>
      <c r="H43">
        <f t="shared" si="5"/>
        <v>1</v>
      </c>
    </row>
    <row r="44" spans="1:8" x14ac:dyDescent="0.25">
      <c r="A44" s="16">
        <v>801</v>
      </c>
      <c r="B44" s="17" t="s">
        <v>8</v>
      </c>
      <c r="C44" s="16" t="s">
        <v>108</v>
      </c>
      <c r="D44" s="15" t="s">
        <v>4</v>
      </c>
      <c r="E44" s="15">
        <v>1</v>
      </c>
      <c r="F44" s="15" t="str">
        <f>IF(AND((G44&lt;=3),(H44=0)),C44,"")</f>
        <v/>
      </c>
      <c r="G44" s="15">
        <f t="shared" si="4"/>
        <v>11</v>
      </c>
      <c r="H44" s="15">
        <f t="shared" si="5"/>
        <v>0</v>
      </c>
    </row>
    <row r="45" spans="1:8" x14ac:dyDescent="0.25">
      <c r="A45" s="3">
        <v>802</v>
      </c>
      <c r="B45" s="1" t="s">
        <v>8</v>
      </c>
      <c r="C45" s="3">
        <v>297</v>
      </c>
      <c r="D45" t="s">
        <v>4</v>
      </c>
      <c r="E45">
        <v>2</v>
      </c>
      <c r="F45">
        <f>IF(AND((G45&lt;=3),(H45=0)),C45,"")</f>
        <v>297</v>
      </c>
      <c r="G45">
        <f t="shared" si="4"/>
        <v>3</v>
      </c>
      <c r="H45">
        <f t="shared" si="5"/>
        <v>0</v>
      </c>
    </row>
    <row r="46" spans="1:8" x14ac:dyDescent="0.25">
      <c r="A46" s="13">
        <v>802</v>
      </c>
      <c r="B46" s="18" t="s">
        <v>8</v>
      </c>
      <c r="C46" s="13" t="s">
        <v>108</v>
      </c>
      <c r="D46" s="14" t="s">
        <v>4</v>
      </c>
      <c r="E46" s="14">
        <v>1</v>
      </c>
      <c r="F46" s="14"/>
      <c r="G46" s="14"/>
      <c r="H46" s="14"/>
    </row>
    <row r="47" spans="1:8" x14ac:dyDescent="0.25">
      <c r="A47" s="13" t="s">
        <v>109</v>
      </c>
      <c r="B47" s="18" t="s">
        <v>4</v>
      </c>
      <c r="C47" s="13" t="s">
        <v>108</v>
      </c>
      <c r="D47" s="14" t="s">
        <v>4</v>
      </c>
      <c r="E47" s="14">
        <v>1</v>
      </c>
      <c r="F47" s="14"/>
      <c r="G47" s="14"/>
      <c r="H47" s="14"/>
    </row>
    <row r="48" spans="1:8" x14ac:dyDescent="0.25">
      <c r="A48" s="3">
        <v>808</v>
      </c>
      <c r="B48" s="1" t="s">
        <v>8</v>
      </c>
      <c r="C48" s="3">
        <v>238</v>
      </c>
      <c r="D48" t="s">
        <v>4</v>
      </c>
      <c r="E48">
        <v>1</v>
      </c>
      <c r="F48">
        <f>IF(AND((G48&lt;=3),(H48=0)),C48,"")</f>
        <v>238</v>
      </c>
      <c r="G48">
        <f t="shared" si="4"/>
        <v>3</v>
      </c>
      <c r="H48">
        <f t="shared" si="5"/>
        <v>0</v>
      </c>
    </row>
    <row r="49" spans="1:8" x14ac:dyDescent="0.25">
      <c r="A49" s="3">
        <v>811</v>
      </c>
      <c r="B49" s="1" t="s">
        <v>47</v>
      </c>
      <c r="C49" s="3">
        <v>239</v>
      </c>
      <c r="D49" t="s">
        <v>4</v>
      </c>
      <c r="E49">
        <v>2</v>
      </c>
      <c r="F49">
        <f>IF(AND((G49&lt;=3),(H49=0)),C49,"")</f>
        <v>239</v>
      </c>
      <c r="G49">
        <f t="shared" si="4"/>
        <v>3</v>
      </c>
      <c r="H49">
        <f t="shared" si="5"/>
        <v>0</v>
      </c>
    </row>
    <row r="50" spans="1:8" x14ac:dyDescent="0.25">
      <c r="A50" s="3">
        <v>903</v>
      </c>
      <c r="B50" t="s">
        <v>4</v>
      </c>
      <c r="C50" s="3" t="s">
        <v>83</v>
      </c>
      <c r="D50" t="s">
        <v>4</v>
      </c>
      <c r="E50">
        <v>1</v>
      </c>
      <c r="F50">
        <v>271</v>
      </c>
      <c r="G50">
        <f t="shared" si="4"/>
        <v>19</v>
      </c>
      <c r="H50">
        <f t="shared" si="5"/>
        <v>0</v>
      </c>
    </row>
    <row r="51" spans="1:8" x14ac:dyDescent="0.25">
      <c r="A51" s="3">
        <v>1101</v>
      </c>
      <c r="B51" s="1" t="s">
        <v>16</v>
      </c>
      <c r="C51" s="3" t="s">
        <v>15</v>
      </c>
      <c r="D51" t="s">
        <v>4</v>
      </c>
      <c r="E51">
        <v>1</v>
      </c>
      <c r="F51">
        <v>999</v>
      </c>
      <c r="G51">
        <f t="shared" si="4"/>
        <v>11</v>
      </c>
      <c r="H51">
        <f t="shared" si="5"/>
        <v>1</v>
      </c>
    </row>
    <row r="52" spans="1:8" x14ac:dyDescent="0.25">
      <c r="A52" s="3">
        <v>1101</v>
      </c>
      <c r="B52" s="1" t="s">
        <v>17</v>
      </c>
      <c r="C52" s="3">
        <v>311</v>
      </c>
      <c r="D52" t="s">
        <v>4</v>
      </c>
      <c r="E52">
        <v>1</v>
      </c>
      <c r="F52">
        <f>IF(AND((G52&lt;=3),(H52=0)),C52,"")</f>
        <v>311</v>
      </c>
      <c r="G52">
        <f t="shared" si="4"/>
        <v>3</v>
      </c>
      <c r="H52">
        <f t="shared" si="5"/>
        <v>0</v>
      </c>
    </row>
    <row r="53" spans="1:8" x14ac:dyDescent="0.25">
      <c r="A53" s="3">
        <v>1104</v>
      </c>
      <c r="B53" s="1" t="s">
        <v>8</v>
      </c>
      <c r="C53" s="3" t="s">
        <v>82</v>
      </c>
      <c r="D53" t="s">
        <v>4</v>
      </c>
      <c r="E53">
        <v>1</v>
      </c>
      <c r="F53">
        <v>255</v>
      </c>
      <c r="G53">
        <f t="shared" si="4"/>
        <v>15</v>
      </c>
      <c r="H53">
        <f t="shared" si="5"/>
        <v>0</v>
      </c>
    </row>
    <row r="54" spans="1:8" x14ac:dyDescent="0.25">
      <c r="A54" s="3">
        <v>1107</v>
      </c>
      <c r="B54" s="1" t="s">
        <v>16</v>
      </c>
      <c r="C54" s="3">
        <v>248</v>
      </c>
      <c r="D54" t="s">
        <v>4</v>
      </c>
      <c r="E54">
        <v>1</v>
      </c>
      <c r="F54">
        <f>IF(AND((G54&lt;=3),(H54=0)),C54,"")</f>
        <v>248</v>
      </c>
      <c r="G54">
        <f t="shared" si="4"/>
        <v>3</v>
      </c>
      <c r="H54">
        <f t="shared" si="5"/>
        <v>0</v>
      </c>
    </row>
    <row r="55" spans="1:8" x14ac:dyDescent="0.25">
      <c r="A55" s="3">
        <v>1107</v>
      </c>
      <c r="B55" s="1" t="s">
        <v>18</v>
      </c>
      <c r="C55" s="3">
        <v>249</v>
      </c>
      <c r="D55" t="s">
        <v>4</v>
      </c>
      <c r="E55">
        <v>1</v>
      </c>
      <c r="F55">
        <f>IF(AND((G55&lt;=3),(H55=0)),C55,"")</f>
        <v>249</v>
      </c>
      <c r="G55">
        <f t="shared" si="4"/>
        <v>3</v>
      </c>
      <c r="H55">
        <f t="shared" si="5"/>
        <v>0</v>
      </c>
    </row>
    <row r="56" spans="1:8" x14ac:dyDescent="0.25">
      <c r="A56" s="3">
        <v>1107</v>
      </c>
      <c r="B56" s="1" t="s">
        <v>19</v>
      </c>
      <c r="C56" s="3" t="s">
        <v>24</v>
      </c>
      <c r="D56" t="s">
        <v>4</v>
      </c>
      <c r="E56">
        <v>1</v>
      </c>
      <c r="F56">
        <v>251</v>
      </c>
      <c r="G56">
        <f t="shared" si="4"/>
        <v>7</v>
      </c>
      <c r="H56">
        <f t="shared" si="5"/>
        <v>0</v>
      </c>
    </row>
    <row r="57" spans="1:8" x14ac:dyDescent="0.25">
      <c r="A57" s="3">
        <v>1107</v>
      </c>
      <c r="B57" s="1" t="s">
        <v>20</v>
      </c>
      <c r="C57" s="3">
        <v>251</v>
      </c>
      <c r="D57" t="s">
        <v>4</v>
      </c>
      <c r="E57">
        <v>1</v>
      </c>
      <c r="F57">
        <f t="shared" ref="F57:F69" si="6">IF(AND((G57&lt;=3),(H57=0)),C57,"")</f>
        <v>251</v>
      </c>
      <c r="G57">
        <f t="shared" si="4"/>
        <v>3</v>
      </c>
      <c r="H57">
        <f t="shared" si="5"/>
        <v>0</v>
      </c>
    </row>
    <row r="58" spans="1:8" x14ac:dyDescent="0.25">
      <c r="A58" s="3">
        <v>1107</v>
      </c>
      <c r="B58" s="1" t="s">
        <v>21</v>
      </c>
      <c r="C58" s="3">
        <v>250</v>
      </c>
      <c r="D58" t="s">
        <v>4</v>
      </c>
      <c r="E58">
        <v>1</v>
      </c>
      <c r="F58">
        <f t="shared" si="6"/>
        <v>250</v>
      </c>
      <c r="G58">
        <f t="shared" si="4"/>
        <v>3</v>
      </c>
      <c r="H58">
        <f t="shared" si="5"/>
        <v>0</v>
      </c>
    </row>
    <row r="59" spans="1:8" x14ac:dyDescent="0.25">
      <c r="A59" s="3">
        <v>1107</v>
      </c>
      <c r="B59" s="1" t="s">
        <v>22</v>
      </c>
      <c r="C59" s="3">
        <v>250</v>
      </c>
      <c r="D59" t="s">
        <v>4</v>
      </c>
      <c r="E59">
        <v>1</v>
      </c>
      <c r="F59">
        <f t="shared" si="6"/>
        <v>250</v>
      </c>
      <c r="G59">
        <f t="shared" si="4"/>
        <v>3</v>
      </c>
      <c r="H59">
        <f t="shared" si="5"/>
        <v>0</v>
      </c>
    </row>
    <row r="60" spans="1:8" x14ac:dyDescent="0.25">
      <c r="A60" s="3">
        <v>1107</v>
      </c>
      <c r="B60" s="1" t="s">
        <v>23</v>
      </c>
      <c r="C60" s="3">
        <v>253</v>
      </c>
      <c r="D60" t="s">
        <v>4</v>
      </c>
      <c r="E60">
        <v>1</v>
      </c>
      <c r="F60">
        <f t="shared" si="6"/>
        <v>253</v>
      </c>
      <c r="G60">
        <f t="shared" si="4"/>
        <v>3</v>
      </c>
      <c r="H60">
        <f t="shared" si="5"/>
        <v>0</v>
      </c>
    </row>
    <row r="61" spans="1:8" x14ac:dyDescent="0.25">
      <c r="A61" s="3">
        <v>1107</v>
      </c>
      <c r="B61" s="1" t="s">
        <v>25</v>
      </c>
      <c r="C61" s="3">
        <v>252</v>
      </c>
      <c r="D61" t="s">
        <v>4</v>
      </c>
      <c r="E61">
        <v>1</v>
      </c>
      <c r="F61">
        <f t="shared" si="6"/>
        <v>252</v>
      </c>
      <c r="G61">
        <f t="shared" si="4"/>
        <v>3</v>
      </c>
      <c r="H61">
        <f t="shared" si="5"/>
        <v>0</v>
      </c>
    </row>
    <row r="62" spans="1:8" x14ac:dyDescent="0.25">
      <c r="A62" s="3">
        <v>1202</v>
      </c>
      <c r="B62" s="1" t="s">
        <v>16</v>
      </c>
      <c r="C62" s="3">
        <v>248</v>
      </c>
      <c r="D62" t="s">
        <v>4</v>
      </c>
      <c r="E62">
        <v>1</v>
      </c>
      <c r="F62">
        <f t="shared" si="6"/>
        <v>248</v>
      </c>
      <c r="G62">
        <f t="shared" si="4"/>
        <v>3</v>
      </c>
      <c r="H62">
        <f t="shared" si="5"/>
        <v>0</v>
      </c>
    </row>
    <row r="63" spans="1:8" x14ac:dyDescent="0.25">
      <c r="A63" s="3">
        <v>1202</v>
      </c>
      <c r="B63" s="1" t="s">
        <v>18</v>
      </c>
      <c r="C63" s="3">
        <v>249</v>
      </c>
      <c r="D63" t="s">
        <v>4</v>
      </c>
      <c r="E63">
        <v>1</v>
      </c>
      <c r="F63">
        <f t="shared" si="6"/>
        <v>249</v>
      </c>
      <c r="G63">
        <f t="shared" si="4"/>
        <v>3</v>
      </c>
      <c r="H63">
        <f t="shared" si="5"/>
        <v>0</v>
      </c>
    </row>
    <row r="64" spans="1:8" x14ac:dyDescent="0.25">
      <c r="A64" s="3">
        <v>1202</v>
      </c>
      <c r="B64" s="1" t="s">
        <v>19</v>
      </c>
      <c r="C64" s="3">
        <v>252</v>
      </c>
      <c r="D64" t="s">
        <v>4</v>
      </c>
      <c r="E64">
        <v>1</v>
      </c>
      <c r="F64">
        <f t="shared" si="6"/>
        <v>252</v>
      </c>
      <c r="G64">
        <f t="shared" si="4"/>
        <v>3</v>
      </c>
      <c r="H64">
        <f t="shared" si="5"/>
        <v>0</v>
      </c>
    </row>
    <row r="65" spans="1:8" x14ac:dyDescent="0.25">
      <c r="A65" s="3">
        <v>1202</v>
      </c>
      <c r="B65" s="1" t="s">
        <v>20</v>
      </c>
      <c r="C65" s="3">
        <v>251</v>
      </c>
      <c r="D65" t="s">
        <v>4</v>
      </c>
      <c r="E65">
        <v>1</v>
      </c>
      <c r="F65">
        <f t="shared" si="6"/>
        <v>251</v>
      </c>
      <c r="G65">
        <f t="shared" si="4"/>
        <v>3</v>
      </c>
      <c r="H65">
        <f t="shared" si="5"/>
        <v>0</v>
      </c>
    </row>
    <row r="66" spans="1:8" x14ac:dyDescent="0.25">
      <c r="A66" s="3">
        <v>1202</v>
      </c>
      <c r="B66" s="1" t="s">
        <v>21</v>
      </c>
      <c r="C66" s="3">
        <v>250</v>
      </c>
      <c r="D66" t="s">
        <v>4</v>
      </c>
      <c r="E66">
        <v>1</v>
      </c>
      <c r="F66">
        <f t="shared" si="6"/>
        <v>250</v>
      </c>
      <c r="G66">
        <f t="shared" si="4"/>
        <v>3</v>
      </c>
      <c r="H66">
        <f t="shared" si="5"/>
        <v>0</v>
      </c>
    </row>
    <row r="67" spans="1:8" x14ac:dyDescent="0.25">
      <c r="A67" s="3">
        <v>1202</v>
      </c>
      <c r="B67" s="1" t="s">
        <v>22</v>
      </c>
      <c r="C67" s="3">
        <v>253</v>
      </c>
      <c r="D67" t="s">
        <v>4</v>
      </c>
      <c r="E67">
        <v>1</v>
      </c>
      <c r="F67">
        <f t="shared" si="6"/>
        <v>253</v>
      </c>
      <c r="G67">
        <f t="shared" si="4"/>
        <v>3</v>
      </c>
      <c r="H67">
        <f t="shared" si="5"/>
        <v>0</v>
      </c>
    </row>
    <row r="68" spans="1:8" x14ac:dyDescent="0.25">
      <c r="A68" s="3">
        <v>1202</v>
      </c>
      <c r="B68" s="1" t="s">
        <v>23</v>
      </c>
      <c r="C68" s="3">
        <v>252</v>
      </c>
      <c r="D68" t="s">
        <v>4</v>
      </c>
      <c r="E68">
        <v>1</v>
      </c>
      <c r="F68">
        <f t="shared" si="6"/>
        <v>252</v>
      </c>
      <c r="G68">
        <f t="shared" si="4"/>
        <v>3</v>
      </c>
      <c r="H68">
        <f t="shared" si="5"/>
        <v>0</v>
      </c>
    </row>
    <row r="69" spans="1:8" x14ac:dyDescent="0.25">
      <c r="A69" s="3">
        <v>1205</v>
      </c>
      <c r="B69" s="1" t="s">
        <v>6</v>
      </c>
      <c r="C69" s="3">
        <v>197</v>
      </c>
      <c r="D69" t="s">
        <v>26</v>
      </c>
      <c r="E69">
        <v>1</v>
      </c>
      <c r="F69">
        <f t="shared" si="6"/>
        <v>197</v>
      </c>
      <c r="G69">
        <f t="shared" si="4"/>
        <v>3</v>
      </c>
      <c r="H69">
        <f t="shared" si="5"/>
        <v>0</v>
      </c>
    </row>
    <row r="70" spans="1:8" x14ac:dyDescent="0.25">
      <c r="A70" s="3">
        <v>1206</v>
      </c>
      <c r="B70" s="1" t="s">
        <v>6</v>
      </c>
      <c r="C70" s="3" t="s">
        <v>27</v>
      </c>
      <c r="D70" t="s">
        <v>26</v>
      </c>
      <c r="E70">
        <v>1</v>
      </c>
      <c r="F70">
        <v>193</v>
      </c>
      <c r="G70">
        <f t="shared" si="4"/>
        <v>15</v>
      </c>
      <c r="H70">
        <f t="shared" si="5"/>
        <v>0</v>
      </c>
    </row>
    <row r="71" spans="1:8" x14ac:dyDescent="0.25">
      <c r="A71" s="3">
        <v>1303</v>
      </c>
      <c r="B71" s="1" t="s">
        <v>18</v>
      </c>
      <c r="C71" s="3" t="s">
        <v>82</v>
      </c>
      <c r="D71" t="s">
        <v>4</v>
      </c>
      <c r="E71">
        <v>1</v>
      </c>
      <c r="F71">
        <v>255</v>
      </c>
      <c r="G71">
        <f t="shared" si="4"/>
        <v>15</v>
      </c>
      <c r="H71">
        <f t="shared" si="5"/>
        <v>0</v>
      </c>
    </row>
    <row r="72" spans="1:8" x14ac:dyDescent="0.25">
      <c r="A72" s="3">
        <v>1404</v>
      </c>
      <c r="B72" t="s">
        <v>91</v>
      </c>
      <c r="C72" s="3">
        <v>260</v>
      </c>
      <c r="D72" t="s">
        <v>4</v>
      </c>
      <c r="E72">
        <v>1</v>
      </c>
      <c r="F72">
        <f>IF(AND((G72&lt;=3),(H72=0)),C72,"")</f>
        <v>260</v>
      </c>
      <c r="G72">
        <f t="shared" si="4"/>
        <v>3</v>
      </c>
      <c r="H72">
        <f t="shared" si="5"/>
        <v>0</v>
      </c>
    </row>
    <row r="73" spans="1:8" x14ac:dyDescent="0.25">
      <c r="A73" s="3">
        <v>1406</v>
      </c>
      <c r="B73" s="1" t="s">
        <v>28</v>
      </c>
      <c r="C73" s="3">
        <v>260</v>
      </c>
      <c r="D73" t="s">
        <v>4</v>
      </c>
      <c r="E73">
        <v>1</v>
      </c>
      <c r="F73">
        <f>IF(AND((G73&lt;=3),(H73=0)),C73,"")</f>
        <v>260</v>
      </c>
      <c r="G73">
        <f t="shared" si="4"/>
        <v>3</v>
      </c>
      <c r="H73">
        <f t="shared" si="5"/>
        <v>0</v>
      </c>
    </row>
    <row r="74" spans="1:8" x14ac:dyDescent="0.25">
      <c r="A74" s="3" t="s">
        <v>30</v>
      </c>
      <c r="B74" s="1" t="s">
        <v>32</v>
      </c>
      <c r="C74" s="3" t="s">
        <v>31</v>
      </c>
      <c r="D74" t="s">
        <v>4</v>
      </c>
      <c r="E74">
        <v>1</v>
      </c>
      <c r="F74">
        <v>248</v>
      </c>
      <c r="G74">
        <f t="shared" si="4"/>
        <v>7</v>
      </c>
      <c r="H74">
        <f t="shared" si="5"/>
        <v>0</v>
      </c>
    </row>
    <row r="75" spans="1:8" x14ac:dyDescent="0.25">
      <c r="A75" s="3" t="s">
        <v>30</v>
      </c>
      <c r="B75" s="1" t="s">
        <v>33</v>
      </c>
      <c r="C75" s="3">
        <v>251</v>
      </c>
      <c r="D75" t="s">
        <v>4</v>
      </c>
      <c r="E75">
        <v>1</v>
      </c>
      <c r="F75">
        <f t="shared" ref="F75:F81" si="7">IF(AND((G75&lt;=3),(H75=0)),C75,"")</f>
        <v>251</v>
      </c>
      <c r="G75">
        <f t="shared" si="4"/>
        <v>3</v>
      </c>
      <c r="H75">
        <f t="shared" si="5"/>
        <v>0</v>
      </c>
    </row>
    <row r="76" spans="1:8" x14ac:dyDescent="0.25">
      <c r="A76" s="3" t="s">
        <v>30</v>
      </c>
      <c r="B76" s="1" t="s">
        <v>34</v>
      </c>
      <c r="C76" s="3">
        <v>250</v>
      </c>
      <c r="D76" t="s">
        <v>4</v>
      </c>
      <c r="E76">
        <v>1</v>
      </c>
      <c r="F76">
        <f t="shared" si="7"/>
        <v>250</v>
      </c>
      <c r="G76">
        <f t="shared" ref="G76:G107" si="8">LEN(C76)</f>
        <v>3</v>
      </c>
      <c r="H76">
        <f t="shared" ref="H76:H107" si="9">IF(LEFT(C76,1)="V",1,0)</f>
        <v>0</v>
      </c>
    </row>
    <row r="77" spans="1:8" x14ac:dyDescent="0.25">
      <c r="A77" s="3" t="s">
        <v>30</v>
      </c>
      <c r="B77" s="1" t="s">
        <v>35</v>
      </c>
      <c r="C77" s="3">
        <v>252</v>
      </c>
      <c r="D77" t="s">
        <v>4</v>
      </c>
      <c r="E77">
        <v>1</v>
      </c>
      <c r="F77">
        <f t="shared" si="7"/>
        <v>252</v>
      </c>
      <c r="G77">
        <f t="shared" si="8"/>
        <v>3</v>
      </c>
      <c r="H77">
        <f t="shared" si="9"/>
        <v>0</v>
      </c>
    </row>
    <row r="78" spans="1:8" x14ac:dyDescent="0.25">
      <c r="A78" s="3" t="s">
        <v>36</v>
      </c>
      <c r="B78" s="1" t="s">
        <v>35</v>
      </c>
      <c r="C78" s="3">
        <v>254</v>
      </c>
      <c r="D78" t="s">
        <v>4</v>
      </c>
      <c r="E78">
        <v>1</v>
      </c>
      <c r="F78">
        <f t="shared" si="7"/>
        <v>254</v>
      </c>
      <c r="G78">
        <f t="shared" si="8"/>
        <v>3</v>
      </c>
      <c r="H78">
        <f t="shared" si="9"/>
        <v>0</v>
      </c>
    </row>
    <row r="79" spans="1:8" x14ac:dyDescent="0.25">
      <c r="A79" s="3">
        <v>1602</v>
      </c>
      <c r="B79" s="1" t="s">
        <v>38</v>
      </c>
      <c r="C79" s="3">
        <v>263</v>
      </c>
      <c r="D79" t="s">
        <v>4</v>
      </c>
      <c r="E79">
        <v>1</v>
      </c>
      <c r="F79">
        <f t="shared" si="7"/>
        <v>263</v>
      </c>
      <c r="G79">
        <f t="shared" si="8"/>
        <v>3</v>
      </c>
      <c r="H79">
        <f t="shared" si="9"/>
        <v>0</v>
      </c>
    </row>
    <row r="80" spans="1:8" x14ac:dyDescent="0.25">
      <c r="A80" s="3">
        <v>1606</v>
      </c>
      <c r="B80" s="1" t="s">
        <v>8</v>
      </c>
      <c r="C80" s="3">
        <v>259</v>
      </c>
      <c r="D80" t="s">
        <v>4</v>
      </c>
      <c r="E80">
        <v>1</v>
      </c>
      <c r="F80">
        <f t="shared" si="7"/>
        <v>259</v>
      </c>
      <c r="G80">
        <f t="shared" si="8"/>
        <v>3</v>
      </c>
      <c r="H80">
        <f t="shared" si="9"/>
        <v>0</v>
      </c>
    </row>
    <row r="81" spans="1:8" x14ac:dyDescent="0.25">
      <c r="A81" s="3">
        <v>1606</v>
      </c>
      <c r="B81" t="s">
        <v>8</v>
      </c>
      <c r="C81" s="3">
        <v>264</v>
      </c>
      <c r="D81" t="s">
        <v>4</v>
      </c>
      <c r="E81">
        <v>1</v>
      </c>
      <c r="F81">
        <f t="shared" si="7"/>
        <v>264</v>
      </c>
      <c r="G81">
        <f t="shared" si="8"/>
        <v>3</v>
      </c>
      <c r="H81">
        <f t="shared" si="9"/>
        <v>0</v>
      </c>
    </row>
    <row r="82" spans="1:8" x14ac:dyDescent="0.25">
      <c r="A82" s="3">
        <v>1802</v>
      </c>
      <c r="B82" s="1" t="s">
        <v>8</v>
      </c>
      <c r="C82" s="3" t="s">
        <v>39</v>
      </c>
      <c r="D82" t="s">
        <v>4</v>
      </c>
      <c r="E82">
        <v>1</v>
      </c>
      <c r="F82">
        <v>999</v>
      </c>
      <c r="G82">
        <f t="shared" si="8"/>
        <v>10</v>
      </c>
      <c r="H82">
        <f t="shared" si="9"/>
        <v>1</v>
      </c>
    </row>
    <row r="83" spans="1:8" x14ac:dyDescent="0.25">
      <c r="A83" s="3">
        <v>1802</v>
      </c>
      <c r="B83" t="s">
        <v>8</v>
      </c>
      <c r="C83" s="3">
        <v>200</v>
      </c>
      <c r="D83" t="s">
        <v>4</v>
      </c>
      <c r="E83">
        <v>1</v>
      </c>
      <c r="F83">
        <f>IF(AND((G83&lt;=3),(H83=0)),C83,"")</f>
        <v>200</v>
      </c>
      <c r="G83">
        <f t="shared" si="8"/>
        <v>3</v>
      </c>
      <c r="H83">
        <f t="shared" si="9"/>
        <v>0</v>
      </c>
    </row>
    <row r="84" spans="1:8" x14ac:dyDescent="0.25">
      <c r="A84" s="3">
        <v>1802</v>
      </c>
      <c r="B84" t="s">
        <v>8</v>
      </c>
      <c r="C84" s="3">
        <v>308</v>
      </c>
      <c r="D84" t="s">
        <v>4</v>
      </c>
      <c r="E84">
        <v>1</v>
      </c>
      <c r="F84">
        <f>IF(AND((G84&lt;=3),(H84=0)),C84,"")</f>
        <v>308</v>
      </c>
      <c r="G84">
        <f t="shared" si="8"/>
        <v>3</v>
      </c>
      <c r="H84">
        <f t="shared" si="9"/>
        <v>0</v>
      </c>
    </row>
    <row r="85" spans="1:8" x14ac:dyDescent="0.25">
      <c r="A85" s="3">
        <v>1802</v>
      </c>
      <c r="B85" s="1" t="s">
        <v>7</v>
      </c>
      <c r="C85" s="3" t="s">
        <v>40</v>
      </c>
      <c r="D85" t="s">
        <v>4</v>
      </c>
      <c r="E85">
        <v>1</v>
      </c>
      <c r="F85">
        <v>201</v>
      </c>
      <c r="G85">
        <f t="shared" si="8"/>
        <v>7</v>
      </c>
      <c r="H85">
        <f t="shared" si="9"/>
        <v>0</v>
      </c>
    </row>
    <row r="86" spans="1:8" x14ac:dyDescent="0.25">
      <c r="A86" s="3">
        <v>1802</v>
      </c>
      <c r="B86" t="s">
        <v>7</v>
      </c>
      <c r="C86" s="3" t="s">
        <v>39</v>
      </c>
      <c r="D86" t="s">
        <v>94</v>
      </c>
      <c r="E86">
        <v>1</v>
      </c>
      <c r="F86">
        <v>999</v>
      </c>
      <c r="G86">
        <f t="shared" si="8"/>
        <v>10</v>
      </c>
      <c r="H86">
        <f t="shared" si="9"/>
        <v>1</v>
      </c>
    </row>
    <row r="87" spans="1:8" x14ac:dyDescent="0.25">
      <c r="A87" s="3">
        <v>1802</v>
      </c>
      <c r="B87" s="1" t="s">
        <v>41</v>
      </c>
      <c r="C87" s="3">
        <v>200</v>
      </c>
      <c r="D87" t="s">
        <v>4</v>
      </c>
      <c r="E87">
        <v>1</v>
      </c>
      <c r="F87">
        <f>IF(AND((G87&lt;=3),(H87=0)),C87,"")</f>
        <v>200</v>
      </c>
      <c r="G87">
        <f t="shared" si="8"/>
        <v>3</v>
      </c>
      <c r="H87">
        <f t="shared" si="9"/>
        <v>0</v>
      </c>
    </row>
    <row r="88" spans="1:8" x14ac:dyDescent="0.25">
      <c r="A88" s="3">
        <v>1802</v>
      </c>
      <c r="B88" t="s">
        <v>41</v>
      </c>
      <c r="C88" s="3" t="s">
        <v>39</v>
      </c>
      <c r="D88" t="s">
        <v>94</v>
      </c>
      <c r="E88">
        <v>1</v>
      </c>
      <c r="F88">
        <v>999</v>
      </c>
      <c r="G88">
        <f t="shared" si="8"/>
        <v>10</v>
      </c>
      <c r="H88">
        <f t="shared" si="9"/>
        <v>1</v>
      </c>
    </row>
    <row r="89" spans="1:8" x14ac:dyDescent="0.25">
      <c r="A89" s="3">
        <v>1802</v>
      </c>
      <c r="B89" t="s">
        <v>41</v>
      </c>
      <c r="C89" s="3" t="s">
        <v>42</v>
      </c>
      <c r="D89" t="s">
        <v>4</v>
      </c>
      <c r="E89">
        <v>1</v>
      </c>
      <c r="F89">
        <v>999</v>
      </c>
      <c r="G89">
        <f t="shared" si="8"/>
        <v>10</v>
      </c>
      <c r="H89">
        <f t="shared" si="9"/>
        <v>1</v>
      </c>
    </row>
    <row r="90" spans="1:8" x14ac:dyDescent="0.25">
      <c r="A90" s="3">
        <v>1802</v>
      </c>
      <c r="B90" s="1" t="s">
        <v>43</v>
      </c>
      <c r="C90" s="3">
        <v>203</v>
      </c>
      <c r="D90" t="s">
        <v>4</v>
      </c>
      <c r="E90">
        <v>1</v>
      </c>
      <c r="F90">
        <f>IF(AND((G90&lt;=3),(H90=0)),C90,"")</f>
        <v>203</v>
      </c>
      <c r="G90">
        <f t="shared" si="8"/>
        <v>3</v>
      </c>
      <c r="H90">
        <f t="shared" si="9"/>
        <v>0</v>
      </c>
    </row>
    <row r="91" spans="1:8" x14ac:dyDescent="0.25">
      <c r="A91" s="3">
        <v>1802</v>
      </c>
      <c r="B91" t="s">
        <v>43</v>
      </c>
      <c r="C91" s="3" t="s">
        <v>39</v>
      </c>
      <c r="D91" t="s">
        <v>94</v>
      </c>
      <c r="E91">
        <v>1</v>
      </c>
      <c r="F91">
        <v>999</v>
      </c>
      <c r="G91">
        <f t="shared" si="8"/>
        <v>10</v>
      </c>
      <c r="H91">
        <f t="shared" si="9"/>
        <v>1</v>
      </c>
    </row>
    <row r="92" spans="1:8" x14ac:dyDescent="0.25">
      <c r="A92" s="3">
        <v>1802</v>
      </c>
      <c r="B92" t="s">
        <v>43</v>
      </c>
      <c r="C92" s="3" t="s">
        <v>44</v>
      </c>
      <c r="D92" t="s">
        <v>4</v>
      </c>
      <c r="E92">
        <v>1</v>
      </c>
      <c r="F92">
        <v>999</v>
      </c>
      <c r="G92">
        <f t="shared" si="8"/>
        <v>15</v>
      </c>
      <c r="H92">
        <f t="shared" si="9"/>
        <v>1</v>
      </c>
    </row>
    <row r="93" spans="1:8" x14ac:dyDescent="0.25">
      <c r="A93" s="3">
        <v>1802</v>
      </c>
      <c r="B93" s="1" t="s">
        <v>37</v>
      </c>
      <c r="C93" s="3">
        <v>203</v>
      </c>
      <c r="D93" t="s">
        <v>4</v>
      </c>
      <c r="E93">
        <v>1</v>
      </c>
      <c r="F93">
        <f>IF(AND((G93&lt;=3),(H93=0)),C93,"")</f>
        <v>203</v>
      </c>
      <c r="G93">
        <f t="shared" si="8"/>
        <v>3</v>
      </c>
      <c r="H93">
        <f t="shared" si="9"/>
        <v>0</v>
      </c>
    </row>
    <row r="94" spans="1:8" x14ac:dyDescent="0.25">
      <c r="A94" s="3">
        <v>1802</v>
      </c>
      <c r="B94" t="s">
        <v>37</v>
      </c>
      <c r="C94" s="3" t="s">
        <v>39</v>
      </c>
      <c r="D94" t="s">
        <v>94</v>
      </c>
      <c r="E94">
        <v>1</v>
      </c>
      <c r="F94">
        <v>999</v>
      </c>
      <c r="G94">
        <f t="shared" si="8"/>
        <v>10</v>
      </c>
      <c r="H94">
        <f t="shared" si="9"/>
        <v>1</v>
      </c>
    </row>
    <row r="95" spans="1:8" x14ac:dyDescent="0.25">
      <c r="A95" s="16" t="s">
        <v>45</v>
      </c>
      <c r="B95" s="17" t="s">
        <v>46</v>
      </c>
      <c r="C95" s="16" t="s">
        <v>110</v>
      </c>
      <c r="D95" s="15" t="s">
        <v>4</v>
      </c>
      <c r="E95" s="15">
        <v>1</v>
      </c>
      <c r="F95" s="15">
        <v>999</v>
      </c>
      <c r="G95" s="15">
        <f t="shared" si="8"/>
        <v>10</v>
      </c>
      <c r="H95" s="15">
        <f t="shared" si="9"/>
        <v>1</v>
      </c>
    </row>
    <row r="96" spans="1:8" x14ac:dyDescent="0.25">
      <c r="A96" s="16" t="s">
        <v>48</v>
      </c>
      <c r="B96" s="17" t="s">
        <v>8</v>
      </c>
      <c r="C96" s="16" t="s">
        <v>111</v>
      </c>
      <c r="D96" s="15" t="s">
        <v>4</v>
      </c>
      <c r="E96" s="15">
        <v>1</v>
      </c>
      <c r="F96" s="15" t="str">
        <f t="shared" ref="F96:F113" si="10">IF(AND((G96&lt;=3),(H96=0)),C96,"")</f>
        <v/>
      </c>
      <c r="G96" s="15">
        <f t="shared" si="8"/>
        <v>9</v>
      </c>
      <c r="H96" s="15">
        <f t="shared" si="9"/>
        <v>0</v>
      </c>
    </row>
    <row r="97" spans="1:8" x14ac:dyDescent="0.25">
      <c r="A97" s="3" t="s">
        <v>48</v>
      </c>
      <c r="B97" s="1" t="s">
        <v>7</v>
      </c>
      <c r="C97" s="3">
        <v>185</v>
      </c>
      <c r="D97" t="s">
        <v>4</v>
      </c>
      <c r="E97">
        <v>1</v>
      </c>
      <c r="F97">
        <f t="shared" si="10"/>
        <v>185</v>
      </c>
      <c r="G97">
        <f t="shared" si="8"/>
        <v>3</v>
      </c>
      <c r="H97">
        <f t="shared" si="9"/>
        <v>0</v>
      </c>
    </row>
    <row r="98" spans="1:8" x14ac:dyDescent="0.25">
      <c r="A98" s="16" t="s">
        <v>49</v>
      </c>
      <c r="B98" s="17" t="s">
        <v>8</v>
      </c>
      <c r="C98" s="16" t="s">
        <v>112</v>
      </c>
      <c r="D98" s="15" t="s">
        <v>4</v>
      </c>
      <c r="E98" s="15">
        <v>1</v>
      </c>
      <c r="F98" s="15" t="str">
        <f t="shared" si="10"/>
        <v/>
      </c>
      <c r="G98" s="15">
        <f t="shared" si="8"/>
        <v>7</v>
      </c>
      <c r="H98" s="15">
        <f t="shared" si="9"/>
        <v>0</v>
      </c>
    </row>
    <row r="99" spans="1:8" x14ac:dyDescent="0.25">
      <c r="A99" s="3" t="s">
        <v>49</v>
      </c>
      <c r="B99" s="1" t="s">
        <v>7</v>
      </c>
      <c r="C99" s="3">
        <v>185</v>
      </c>
      <c r="D99" t="s">
        <v>4</v>
      </c>
      <c r="E99">
        <v>1</v>
      </c>
      <c r="F99">
        <f t="shared" si="10"/>
        <v>185</v>
      </c>
      <c r="G99">
        <f t="shared" si="8"/>
        <v>3</v>
      </c>
      <c r="H99">
        <f t="shared" si="9"/>
        <v>0</v>
      </c>
    </row>
    <row r="100" spans="1:8" x14ac:dyDescent="0.25">
      <c r="A100" s="3" t="s">
        <v>50</v>
      </c>
      <c r="B100" s="1" t="s">
        <v>6</v>
      </c>
      <c r="C100" s="3">
        <v>205</v>
      </c>
      <c r="D100" t="s">
        <v>4</v>
      </c>
      <c r="E100">
        <v>1</v>
      </c>
      <c r="F100">
        <f t="shared" si="10"/>
        <v>205</v>
      </c>
      <c r="G100">
        <f t="shared" si="8"/>
        <v>3</v>
      </c>
      <c r="H100">
        <f t="shared" si="9"/>
        <v>0</v>
      </c>
    </row>
    <row r="101" spans="1:8" x14ac:dyDescent="0.25">
      <c r="A101" s="3" t="s">
        <v>50</v>
      </c>
      <c r="B101" t="s">
        <v>6</v>
      </c>
      <c r="C101" s="3">
        <v>206</v>
      </c>
      <c r="D101" t="s">
        <v>4</v>
      </c>
      <c r="E101">
        <v>1</v>
      </c>
      <c r="F101">
        <f t="shared" si="10"/>
        <v>206</v>
      </c>
      <c r="G101">
        <f t="shared" si="8"/>
        <v>3</v>
      </c>
      <c r="H101">
        <f t="shared" si="9"/>
        <v>0</v>
      </c>
    </row>
    <row r="102" spans="1:8" x14ac:dyDescent="0.25">
      <c r="A102" s="3">
        <v>1817</v>
      </c>
      <c r="B102" s="1" t="s">
        <v>8</v>
      </c>
      <c r="C102" s="3">
        <v>205</v>
      </c>
      <c r="D102" t="s">
        <v>4</v>
      </c>
      <c r="E102">
        <v>1</v>
      </c>
      <c r="F102">
        <f t="shared" si="10"/>
        <v>205</v>
      </c>
      <c r="G102">
        <f t="shared" si="8"/>
        <v>3</v>
      </c>
      <c r="H102">
        <f t="shared" si="9"/>
        <v>0</v>
      </c>
    </row>
    <row r="103" spans="1:8" x14ac:dyDescent="0.25">
      <c r="A103" s="3">
        <v>1817</v>
      </c>
      <c r="B103" t="s">
        <v>8</v>
      </c>
      <c r="C103" s="3">
        <v>206</v>
      </c>
      <c r="D103" t="s">
        <v>4</v>
      </c>
      <c r="E103">
        <v>1</v>
      </c>
      <c r="F103">
        <f t="shared" si="10"/>
        <v>206</v>
      </c>
      <c r="G103">
        <f t="shared" si="8"/>
        <v>3</v>
      </c>
      <c r="H103">
        <f t="shared" si="9"/>
        <v>0</v>
      </c>
    </row>
    <row r="104" spans="1:8" x14ac:dyDescent="0.25">
      <c r="A104" s="3">
        <v>1817</v>
      </c>
      <c r="B104" s="1" t="s">
        <v>51</v>
      </c>
      <c r="C104" s="3">
        <v>224</v>
      </c>
      <c r="D104" t="s">
        <v>4</v>
      </c>
      <c r="E104">
        <v>1</v>
      </c>
      <c r="F104">
        <f t="shared" si="10"/>
        <v>224</v>
      </c>
      <c r="G104">
        <f t="shared" si="8"/>
        <v>3</v>
      </c>
      <c r="H104">
        <f t="shared" si="9"/>
        <v>0</v>
      </c>
    </row>
    <row r="105" spans="1:8" x14ac:dyDescent="0.25">
      <c r="A105" s="3">
        <v>1817</v>
      </c>
      <c r="B105" t="s">
        <v>51</v>
      </c>
      <c r="C105" s="3">
        <v>225</v>
      </c>
      <c r="D105" t="s">
        <v>4</v>
      </c>
      <c r="E105">
        <v>1</v>
      </c>
      <c r="F105">
        <f t="shared" si="10"/>
        <v>225</v>
      </c>
      <c r="G105">
        <f t="shared" si="8"/>
        <v>3</v>
      </c>
      <c r="H105">
        <f t="shared" si="9"/>
        <v>0</v>
      </c>
    </row>
    <row r="106" spans="1:8" x14ac:dyDescent="0.25">
      <c r="A106" s="3">
        <v>1817</v>
      </c>
      <c r="B106" s="1" t="s">
        <v>52</v>
      </c>
      <c r="C106" s="3">
        <v>232</v>
      </c>
      <c r="D106" t="s">
        <v>4</v>
      </c>
      <c r="E106">
        <v>1</v>
      </c>
      <c r="F106">
        <f t="shared" si="10"/>
        <v>232</v>
      </c>
      <c r="G106">
        <f t="shared" si="8"/>
        <v>3</v>
      </c>
      <c r="H106">
        <f t="shared" si="9"/>
        <v>0</v>
      </c>
    </row>
    <row r="107" spans="1:8" x14ac:dyDescent="0.25">
      <c r="A107" s="3">
        <v>1817</v>
      </c>
      <c r="B107" s="1" t="s">
        <v>53</v>
      </c>
      <c r="C107" s="3">
        <v>228</v>
      </c>
      <c r="D107" t="s">
        <v>4</v>
      </c>
      <c r="E107">
        <v>1</v>
      </c>
      <c r="F107">
        <f t="shared" si="10"/>
        <v>228</v>
      </c>
      <c r="G107">
        <f t="shared" si="8"/>
        <v>3</v>
      </c>
      <c r="H107">
        <f t="shared" si="9"/>
        <v>0</v>
      </c>
    </row>
    <row r="108" spans="1:8" x14ac:dyDescent="0.25">
      <c r="A108" s="3">
        <v>1817</v>
      </c>
      <c r="B108" t="s">
        <v>53</v>
      </c>
      <c r="C108" s="3">
        <v>229</v>
      </c>
      <c r="D108" t="s">
        <v>4</v>
      </c>
      <c r="E108">
        <v>1</v>
      </c>
      <c r="F108">
        <f t="shared" si="10"/>
        <v>229</v>
      </c>
      <c r="G108">
        <f t="shared" ref="G108:G140" si="11">LEN(C108)</f>
        <v>3</v>
      </c>
      <c r="H108">
        <f t="shared" ref="H108:H140" si="12">IF(LEFT(C108,1)="V",1,0)</f>
        <v>0</v>
      </c>
    </row>
    <row r="109" spans="1:8" x14ac:dyDescent="0.25">
      <c r="A109" s="3">
        <v>1817</v>
      </c>
      <c r="B109" s="1" t="s">
        <v>54</v>
      </c>
      <c r="C109" s="3">
        <v>230</v>
      </c>
      <c r="D109" t="s">
        <v>4</v>
      </c>
      <c r="E109">
        <v>1</v>
      </c>
      <c r="F109">
        <f t="shared" si="10"/>
        <v>230</v>
      </c>
      <c r="G109">
        <f t="shared" si="11"/>
        <v>3</v>
      </c>
      <c r="H109">
        <f t="shared" si="12"/>
        <v>0</v>
      </c>
    </row>
    <row r="110" spans="1:8" x14ac:dyDescent="0.25">
      <c r="A110" s="3">
        <v>1817</v>
      </c>
      <c r="B110" t="s">
        <v>54</v>
      </c>
      <c r="C110" s="3">
        <v>231</v>
      </c>
      <c r="D110" t="s">
        <v>4</v>
      </c>
      <c r="E110">
        <v>1</v>
      </c>
      <c r="F110">
        <f t="shared" si="10"/>
        <v>231</v>
      </c>
      <c r="G110">
        <f t="shared" si="11"/>
        <v>3</v>
      </c>
      <c r="H110">
        <f t="shared" si="12"/>
        <v>0</v>
      </c>
    </row>
    <row r="111" spans="1:8" x14ac:dyDescent="0.25">
      <c r="A111" s="3">
        <v>1817</v>
      </c>
      <c r="B111" s="1" t="s">
        <v>55</v>
      </c>
      <c r="C111" s="3">
        <v>233</v>
      </c>
      <c r="D111" t="s">
        <v>4</v>
      </c>
      <c r="E111">
        <v>1</v>
      </c>
      <c r="F111">
        <f t="shared" si="10"/>
        <v>233</v>
      </c>
      <c r="G111">
        <f t="shared" si="11"/>
        <v>3</v>
      </c>
      <c r="H111">
        <f t="shared" si="12"/>
        <v>0</v>
      </c>
    </row>
    <row r="112" spans="1:8" x14ac:dyDescent="0.25">
      <c r="A112" s="3">
        <v>1817</v>
      </c>
      <c r="B112" s="1" t="s">
        <v>37</v>
      </c>
      <c r="C112" s="3">
        <v>226</v>
      </c>
      <c r="D112" t="s">
        <v>4</v>
      </c>
      <c r="E112">
        <v>1</v>
      </c>
      <c r="F112">
        <f t="shared" si="10"/>
        <v>226</v>
      </c>
      <c r="G112">
        <f t="shared" si="11"/>
        <v>3</v>
      </c>
      <c r="H112">
        <f t="shared" si="12"/>
        <v>0</v>
      </c>
    </row>
    <row r="113" spans="1:8" x14ac:dyDescent="0.25">
      <c r="A113" s="3">
        <v>1817</v>
      </c>
      <c r="B113" t="s">
        <v>37</v>
      </c>
      <c r="C113" s="3">
        <v>227</v>
      </c>
      <c r="D113" t="s">
        <v>4</v>
      </c>
      <c r="E113">
        <v>1</v>
      </c>
      <c r="F113">
        <f t="shared" si="10"/>
        <v>227</v>
      </c>
      <c r="G113">
        <f t="shared" si="11"/>
        <v>3</v>
      </c>
      <c r="H113">
        <f t="shared" si="12"/>
        <v>0</v>
      </c>
    </row>
    <row r="114" spans="1:8" x14ac:dyDescent="0.25">
      <c r="A114" s="16">
        <v>1901</v>
      </c>
      <c r="B114" s="17" t="s">
        <v>8</v>
      </c>
      <c r="C114" s="16" t="s">
        <v>113</v>
      </c>
      <c r="D114" s="15" t="s">
        <v>4</v>
      </c>
      <c r="E114" s="15">
        <v>2</v>
      </c>
      <c r="F114" s="15">
        <v>999</v>
      </c>
      <c r="G114" s="15">
        <f t="shared" si="11"/>
        <v>25</v>
      </c>
      <c r="H114" s="15">
        <f t="shared" si="12"/>
        <v>1</v>
      </c>
    </row>
    <row r="115" spans="1:8" x14ac:dyDescent="0.25">
      <c r="A115" s="16">
        <v>1901</v>
      </c>
      <c r="B115" s="15" t="s">
        <v>8</v>
      </c>
      <c r="C115" s="16" t="s">
        <v>114</v>
      </c>
      <c r="D115" s="15" t="s">
        <v>4</v>
      </c>
      <c r="E115" s="15">
        <v>2</v>
      </c>
      <c r="F115" s="15">
        <v>999</v>
      </c>
      <c r="G115" s="15">
        <f t="shared" si="11"/>
        <v>25</v>
      </c>
      <c r="H115" s="15">
        <f t="shared" si="12"/>
        <v>1</v>
      </c>
    </row>
    <row r="116" spans="1:8" x14ac:dyDescent="0.25">
      <c r="A116" s="3">
        <v>1901</v>
      </c>
      <c r="B116" t="s">
        <v>8</v>
      </c>
      <c r="C116" s="3" t="s">
        <v>56</v>
      </c>
      <c r="E116">
        <v>2</v>
      </c>
      <c r="F116">
        <v>999</v>
      </c>
      <c r="G116">
        <f t="shared" si="11"/>
        <v>10</v>
      </c>
      <c r="H116">
        <f t="shared" si="12"/>
        <v>1</v>
      </c>
    </row>
    <row r="117" spans="1:8" x14ac:dyDescent="0.25">
      <c r="A117" s="3" t="s">
        <v>57</v>
      </c>
      <c r="B117" s="1" t="s">
        <v>8</v>
      </c>
      <c r="C117" s="3">
        <v>278</v>
      </c>
      <c r="D117" t="s">
        <v>4</v>
      </c>
      <c r="E117">
        <v>2</v>
      </c>
      <c r="F117">
        <f>IF(AND((G117&lt;=3),(H117=0)),C117,"")</f>
        <v>278</v>
      </c>
      <c r="G117">
        <f t="shared" si="11"/>
        <v>3</v>
      </c>
      <c r="H117">
        <f t="shared" si="12"/>
        <v>0</v>
      </c>
    </row>
    <row r="118" spans="1:8" x14ac:dyDescent="0.25">
      <c r="A118" s="16" t="s">
        <v>57</v>
      </c>
      <c r="B118" s="15" t="s">
        <v>8</v>
      </c>
      <c r="C118" s="16" t="s">
        <v>116</v>
      </c>
      <c r="D118" s="15" t="s">
        <v>4</v>
      </c>
      <c r="E118" s="15">
        <v>2</v>
      </c>
      <c r="F118" s="15">
        <v>999</v>
      </c>
      <c r="G118" s="15">
        <f t="shared" si="11"/>
        <v>23</v>
      </c>
      <c r="H118" s="15">
        <f t="shared" si="12"/>
        <v>1</v>
      </c>
    </row>
    <row r="119" spans="1:8" x14ac:dyDescent="0.25">
      <c r="A119" s="3" t="s">
        <v>58</v>
      </c>
      <c r="B119" s="1" t="s">
        <v>8</v>
      </c>
      <c r="C119" s="3">
        <v>278</v>
      </c>
      <c r="D119" t="s">
        <v>4</v>
      </c>
      <c r="E119">
        <v>2</v>
      </c>
      <c r="F119">
        <f>IF(AND((G119&lt;=3),(H119=0)),C119,"")</f>
        <v>278</v>
      </c>
      <c r="G119">
        <f t="shared" si="11"/>
        <v>3</v>
      </c>
      <c r="H119">
        <f t="shared" si="12"/>
        <v>0</v>
      </c>
    </row>
    <row r="120" spans="1:8" x14ac:dyDescent="0.25">
      <c r="A120" s="16" t="s">
        <v>58</v>
      </c>
      <c r="B120" s="15" t="s">
        <v>8</v>
      </c>
      <c r="C120" s="16" t="s">
        <v>116</v>
      </c>
      <c r="D120" s="15" t="s">
        <v>4</v>
      </c>
      <c r="E120" s="15">
        <v>2</v>
      </c>
      <c r="F120" s="15">
        <v>999</v>
      </c>
      <c r="G120" s="15">
        <f t="shared" si="11"/>
        <v>23</v>
      </c>
      <c r="H120" s="15">
        <f t="shared" si="12"/>
        <v>1</v>
      </c>
    </row>
    <row r="121" spans="1:8" x14ac:dyDescent="0.25">
      <c r="A121" s="3" t="s">
        <v>59</v>
      </c>
      <c r="B121" s="1" t="s">
        <v>8</v>
      </c>
      <c r="C121" s="3">
        <v>278</v>
      </c>
      <c r="D121" t="s">
        <v>4</v>
      </c>
      <c r="E121">
        <v>2</v>
      </c>
      <c r="F121">
        <f>IF(AND((G121&lt;=3),(H121=0)),C121,"")</f>
        <v>278</v>
      </c>
      <c r="G121">
        <f t="shared" si="11"/>
        <v>3</v>
      </c>
      <c r="H121">
        <f t="shared" si="12"/>
        <v>0</v>
      </c>
    </row>
    <row r="122" spans="1:8" x14ac:dyDescent="0.25">
      <c r="A122" s="16" t="s">
        <v>59</v>
      </c>
      <c r="B122" s="15" t="s">
        <v>8</v>
      </c>
      <c r="C122" s="16" t="s">
        <v>116</v>
      </c>
      <c r="D122" s="15" t="s">
        <v>4</v>
      </c>
      <c r="E122" s="15">
        <v>2</v>
      </c>
      <c r="F122" s="15">
        <v>999</v>
      </c>
      <c r="G122" s="15">
        <f t="shared" si="11"/>
        <v>23</v>
      </c>
      <c r="H122" s="15">
        <f t="shared" si="12"/>
        <v>1</v>
      </c>
    </row>
    <row r="123" spans="1:8" x14ac:dyDescent="0.25">
      <c r="A123" s="13" t="s">
        <v>115</v>
      </c>
      <c r="B123" s="14" t="s">
        <v>8</v>
      </c>
      <c r="C123" s="13" t="s">
        <v>56</v>
      </c>
      <c r="D123" s="14" t="s">
        <v>4</v>
      </c>
      <c r="E123" s="14">
        <v>2</v>
      </c>
      <c r="F123" s="14"/>
      <c r="G123" s="14">
        <f t="shared" si="11"/>
        <v>10</v>
      </c>
      <c r="H123" s="14">
        <f t="shared" si="12"/>
        <v>1</v>
      </c>
    </row>
    <row r="124" spans="1:8" x14ac:dyDescent="0.25">
      <c r="A124" s="3" t="s">
        <v>60</v>
      </c>
      <c r="B124" s="1" t="s">
        <v>8</v>
      </c>
      <c r="C124" s="3">
        <v>235</v>
      </c>
      <c r="D124" t="s">
        <v>4</v>
      </c>
      <c r="E124">
        <v>1</v>
      </c>
      <c r="F124">
        <f t="shared" ref="F124:F130" si="13">IF(AND((G124&lt;=3),(H124=0)),C124,"")</f>
        <v>235</v>
      </c>
      <c r="G124">
        <f t="shared" si="11"/>
        <v>3</v>
      </c>
      <c r="H124">
        <f t="shared" si="12"/>
        <v>0</v>
      </c>
    </row>
    <row r="125" spans="1:8" x14ac:dyDescent="0.25">
      <c r="A125" s="3" t="s">
        <v>61</v>
      </c>
      <c r="B125" s="1" t="s">
        <v>8</v>
      </c>
      <c r="C125" s="3">
        <v>215</v>
      </c>
      <c r="D125" t="s">
        <v>4</v>
      </c>
      <c r="E125">
        <v>1</v>
      </c>
      <c r="F125">
        <f t="shared" si="13"/>
        <v>215</v>
      </c>
      <c r="G125">
        <f t="shared" si="11"/>
        <v>3</v>
      </c>
      <c r="H125">
        <f t="shared" si="12"/>
        <v>0</v>
      </c>
    </row>
    <row r="126" spans="1:8" x14ac:dyDescent="0.25">
      <c r="A126" s="3" t="s">
        <v>61</v>
      </c>
      <c r="B126" t="s">
        <v>8</v>
      </c>
      <c r="C126" s="3">
        <v>216</v>
      </c>
      <c r="D126" t="s">
        <v>4</v>
      </c>
      <c r="E126">
        <v>1</v>
      </c>
      <c r="F126">
        <f t="shared" si="13"/>
        <v>216</v>
      </c>
      <c r="G126">
        <f t="shared" si="11"/>
        <v>3</v>
      </c>
      <c r="H126">
        <f t="shared" si="12"/>
        <v>0</v>
      </c>
    </row>
    <row r="127" spans="1:8" x14ac:dyDescent="0.25">
      <c r="A127" s="3" t="s">
        <v>61</v>
      </c>
      <c r="B127" t="s">
        <v>8</v>
      </c>
      <c r="C127" s="3">
        <v>221</v>
      </c>
      <c r="D127" t="s">
        <v>4</v>
      </c>
      <c r="E127">
        <v>1</v>
      </c>
      <c r="F127">
        <f t="shared" si="13"/>
        <v>221</v>
      </c>
      <c r="G127">
        <f t="shared" si="11"/>
        <v>3</v>
      </c>
      <c r="H127">
        <f t="shared" si="12"/>
        <v>0</v>
      </c>
    </row>
    <row r="128" spans="1:8" x14ac:dyDescent="0.25">
      <c r="A128" s="3" t="s">
        <v>61</v>
      </c>
      <c r="B128" t="s">
        <v>8</v>
      </c>
      <c r="C128" s="3">
        <v>222</v>
      </c>
      <c r="D128" t="s">
        <v>4</v>
      </c>
      <c r="E128">
        <v>1</v>
      </c>
      <c r="F128">
        <f t="shared" si="13"/>
        <v>222</v>
      </c>
      <c r="G128">
        <f t="shared" si="11"/>
        <v>3</v>
      </c>
      <c r="H128">
        <f t="shared" si="12"/>
        <v>0</v>
      </c>
    </row>
    <row r="129" spans="1:8" x14ac:dyDescent="0.25">
      <c r="A129" s="3" t="s">
        <v>61</v>
      </c>
      <c r="B129" t="s">
        <v>8</v>
      </c>
      <c r="C129" s="3">
        <v>223</v>
      </c>
      <c r="D129" t="s">
        <v>4</v>
      </c>
      <c r="E129">
        <v>1</v>
      </c>
      <c r="F129">
        <f t="shared" si="13"/>
        <v>223</v>
      </c>
      <c r="G129">
        <f t="shared" si="11"/>
        <v>3</v>
      </c>
      <c r="H129">
        <f t="shared" si="12"/>
        <v>0</v>
      </c>
    </row>
    <row r="130" spans="1:8" x14ac:dyDescent="0.25">
      <c r="A130" s="3" t="s">
        <v>61</v>
      </c>
      <c r="B130" t="s">
        <v>8</v>
      </c>
      <c r="C130" s="3">
        <v>309</v>
      </c>
      <c r="D130" t="s">
        <v>4</v>
      </c>
      <c r="E130">
        <v>1</v>
      </c>
      <c r="F130">
        <f t="shared" si="13"/>
        <v>309</v>
      </c>
      <c r="G130">
        <f t="shared" si="11"/>
        <v>3</v>
      </c>
      <c r="H130">
        <f t="shared" si="12"/>
        <v>0</v>
      </c>
    </row>
    <row r="131" spans="1:8" x14ac:dyDescent="0.25">
      <c r="A131" s="16" t="s">
        <v>61</v>
      </c>
      <c r="B131" s="15" t="s">
        <v>8</v>
      </c>
      <c r="C131" s="16" t="s">
        <v>117</v>
      </c>
      <c r="D131" s="15" t="s">
        <v>4</v>
      </c>
      <c r="E131" s="15">
        <v>2</v>
      </c>
      <c r="F131" s="15">
        <v>274</v>
      </c>
      <c r="G131" s="15">
        <f t="shared" si="11"/>
        <v>7</v>
      </c>
      <c r="H131" s="15">
        <f t="shared" si="12"/>
        <v>0</v>
      </c>
    </row>
    <row r="132" spans="1:8" x14ac:dyDescent="0.25">
      <c r="A132" s="3" t="s">
        <v>62</v>
      </c>
      <c r="B132" s="1" t="s">
        <v>8</v>
      </c>
      <c r="C132" s="3" t="s">
        <v>63</v>
      </c>
      <c r="E132">
        <v>1</v>
      </c>
      <c r="F132">
        <v>215</v>
      </c>
      <c r="G132">
        <f t="shared" si="11"/>
        <v>7</v>
      </c>
      <c r="H132">
        <f t="shared" si="12"/>
        <v>0</v>
      </c>
    </row>
    <row r="133" spans="1:8" x14ac:dyDescent="0.25">
      <c r="A133" s="3" t="s">
        <v>62</v>
      </c>
      <c r="B133" t="s">
        <v>8</v>
      </c>
      <c r="C133" s="3" t="s">
        <v>64</v>
      </c>
      <c r="E133">
        <v>1</v>
      </c>
      <c r="F133">
        <v>216</v>
      </c>
      <c r="G133">
        <f t="shared" si="11"/>
        <v>7</v>
      </c>
      <c r="H133">
        <f t="shared" si="12"/>
        <v>0</v>
      </c>
    </row>
    <row r="134" spans="1:8" x14ac:dyDescent="0.25">
      <c r="A134" s="3" t="s">
        <v>62</v>
      </c>
      <c r="B134" t="s">
        <v>8</v>
      </c>
      <c r="C134" s="3">
        <v>221</v>
      </c>
      <c r="E134">
        <v>2</v>
      </c>
      <c r="F134">
        <f>IF(AND((G134&lt;=3),(H134=0)),C134,"")</f>
        <v>221</v>
      </c>
      <c r="G134">
        <f t="shared" si="11"/>
        <v>3</v>
      </c>
      <c r="H134">
        <f t="shared" si="12"/>
        <v>0</v>
      </c>
    </row>
    <row r="135" spans="1:8" x14ac:dyDescent="0.25">
      <c r="A135" s="3" t="s">
        <v>62</v>
      </c>
      <c r="B135" t="s">
        <v>8</v>
      </c>
      <c r="C135" s="3">
        <v>222</v>
      </c>
      <c r="E135">
        <v>2</v>
      </c>
      <c r="F135">
        <f>IF(AND((G135&lt;=3),(H135=0)),C135,"")</f>
        <v>222</v>
      </c>
      <c r="G135">
        <f t="shared" si="11"/>
        <v>3</v>
      </c>
      <c r="H135">
        <f t="shared" si="12"/>
        <v>0</v>
      </c>
    </row>
    <row r="136" spans="1:8" x14ac:dyDescent="0.25">
      <c r="A136" s="3" t="s">
        <v>62</v>
      </c>
      <c r="B136" t="s">
        <v>8</v>
      </c>
      <c r="C136" s="3">
        <v>223</v>
      </c>
      <c r="E136">
        <v>2</v>
      </c>
      <c r="F136">
        <f>IF(AND((G136&lt;=3),(H136=0)),C136,"")</f>
        <v>223</v>
      </c>
      <c r="G136">
        <f t="shared" si="11"/>
        <v>3</v>
      </c>
      <c r="H136">
        <f t="shared" si="12"/>
        <v>0</v>
      </c>
    </row>
    <row r="137" spans="1:8" x14ac:dyDescent="0.25">
      <c r="A137" s="3" t="s">
        <v>65</v>
      </c>
      <c r="B137" s="1" t="s">
        <v>8</v>
      </c>
      <c r="C137" s="3" t="s">
        <v>63</v>
      </c>
      <c r="D137" t="s">
        <v>4</v>
      </c>
      <c r="E137">
        <v>1</v>
      </c>
      <c r="F137">
        <v>215</v>
      </c>
      <c r="G137">
        <f t="shared" si="11"/>
        <v>7</v>
      </c>
      <c r="H137">
        <f t="shared" si="12"/>
        <v>0</v>
      </c>
    </row>
    <row r="138" spans="1:8" x14ac:dyDescent="0.25">
      <c r="A138" s="3" t="s">
        <v>65</v>
      </c>
      <c r="B138" t="s">
        <v>8</v>
      </c>
      <c r="C138" s="3" t="s">
        <v>64</v>
      </c>
      <c r="D138" t="s">
        <v>4</v>
      </c>
      <c r="E138">
        <v>1</v>
      </c>
      <c r="F138">
        <v>216</v>
      </c>
      <c r="G138">
        <f t="shared" si="11"/>
        <v>7</v>
      </c>
      <c r="H138">
        <f t="shared" si="12"/>
        <v>0</v>
      </c>
    </row>
    <row r="139" spans="1:8" x14ac:dyDescent="0.25">
      <c r="A139" s="3" t="s">
        <v>65</v>
      </c>
      <c r="B139" t="s">
        <v>8</v>
      </c>
      <c r="C139" s="3">
        <v>221</v>
      </c>
      <c r="D139" t="s">
        <v>4</v>
      </c>
      <c r="E139">
        <v>1</v>
      </c>
      <c r="F139">
        <f>IF(AND((G139&lt;=3),(H139=0)),C139,"")</f>
        <v>221</v>
      </c>
      <c r="G139">
        <f t="shared" si="11"/>
        <v>3</v>
      </c>
      <c r="H139">
        <f t="shared" si="12"/>
        <v>0</v>
      </c>
    </row>
    <row r="140" spans="1:8" x14ac:dyDescent="0.25">
      <c r="A140" s="3" t="s">
        <v>65</v>
      </c>
      <c r="B140" t="s">
        <v>8</v>
      </c>
      <c r="C140" s="3">
        <v>222</v>
      </c>
      <c r="D140" t="s">
        <v>4</v>
      </c>
      <c r="E140">
        <v>1</v>
      </c>
      <c r="F140">
        <f>IF(AND((G140&lt;=3),(H140=0)),C140,"")</f>
        <v>222</v>
      </c>
      <c r="G140">
        <f t="shared" si="11"/>
        <v>3</v>
      </c>
      <c r="H140">
        <f t="shared" si="12"/>
        <v>0</v>
      </c>
    </row>
    <row r="141" spans="1:8" x14ac:dyDescent="0.25">
      <c r="A141" s="3" t="s">
        <v>65</v>
      </c>
      <c r="B141" t="s">
        <v>8</v>
      </c>
      <c r="C141" s="3">
        <v>223</v>
      </c>
      <c r="D141" t="s">
        <v>4</v>
      </c>
      <c r="E141">
        <v>1</v>
      </c>
      <c r="F141">
        <f>IF(AND((G141&lt;=3),(H141=0)),C141,"")</f>
        <v>223</v>
      </c>
      <c r="G141">
        <f t="shared" ref="G141:G165" si="14">LEN(C141)</f>
        <v>3</v>
      </c>
      <c r="H141">
        <f t="shared" ref="H141:H165" si="15">IF(LEFT(C141,1)="V",1,0)</f>
        <v>0</v>
      </c>
    </row>
    <row r="142" spans="1:8" x14ac:dyDescent="0.25">
      <c r="A142" s="3" t="s">
        <v>65</v>
      </c>
      <c r="B142" t="s">
        <v>8</v>
      </c>
      <c r="C142" s="3">
        <v>309</v>
      </c>
      <c r="D142" t="s">
        <v>4</v>
      </c>
      <c r="E142">
        <v>1</v>
      </c>
      <c r="F142">
        <f>IF(AND((G142&lt;=3),(H142=0)),C142,"")</f>
        <v>309</v>
      </c>
      <c r="G142">
        <f t="shared" si="14"/>
        <v>3</v>
      </c>
      <c r="H142">
        <f t="shared" si="15"/>
        <v>0</v>
      </c>
    </row>
    <row r="143" spans="1:8" x14ac:dyDescent="0.25">
      <c r="A143" s="16" t="s">
        <v>65</v>
      </c>
      <c r="B143" s="15" t="s">
        <v>8</v>
      </c>
      <c r="C143" s="16" t="s">
        <v>117</v>
      </c>
      <c r="D143" s="15" t="s">
        <v>4</v>
      </c>
      <c r="E143" s="15">
        <v>2</v>
      </c>
      <c r="F143" s="15">
        <v>274</v>
      </c>
      <c r="G143" s="15">
        <f t="shared" si="14"/>
        <v>7</v>
      </c>
      <c r="H143" s="15">
        <f t="shared" si="15"/>
        <v>0</v>
      </c>
    </row>
    <row r="144" spans="1:8" x14ac:dyDescent="0.25">
      <c r="A144" s="3" t="s">
        <v>66</v>
      </c>
      <c r="B144" s="1" t="s">
        <v>8</v>
      </c>
      <c r="C144" s="3">
        <v>308</v>
      </c>
      <c r="D144" t="s">
        <v>4</v>
      </c>
      <c r="E144">
        <v>1</v>
      </c>
      <c r="F144">
        <f>IF(AND((G144&lt;=3),(H144=0)),C144,"")</f>
        <v>308</v>
      </c>
      <c r="G144">
        <f t="shared" si="14"/>
        <v>3</v>
      </c>
      <c r="H144">
        <f t="shared" si="15"/>
        <v>0</v>
      </c>
    </row>
    <row r="145" spans="1:8" x14ac:dyDescent="0.25">
      <c r="A145" s="16" t="s">
        <v>67</v>
      </c>
      <c r="B145" s="17" t="s">
        <v>7</v>
      </c>
      <c r="C145" s="16" t="s">
        <v>118</v>
      </c>
      <c r="D145" s="15" t="s">
        <v>4</v>
      </c>
      <c r="E145" s="15">
        <v>1</v>
      </c>
      <c r="F145" s="15">
        <v>999</v>
      </c>
      <c r="G145" s="15">
        <f t="shared" si="14"/>
        <v>33</v>
      </c>
      <c r="H145" s="15">
        <f t="shared" si="15"/>
        <v>1</v>
      </c>
    </row>
    <row r="146" spans="1:8" x14ac:dyDescent="0.25">
      <c r="A146" s="3" t="s">
        <v>67</v>
      </c>
      <c r="B146" s="1" t="s">
        <v>41</v>
      </c>
      <c r="C146" s="3" t="s">
        <v>68</v>
      </c>
      <c r="D146" t="s">
        <v>4</v>
      </c>
      <c r="E146">
        <v>1</v>
      </c>
      <c r="F146">
        <v>999</v>
      </c>
      <c r="G146">
        <f t="shared" si="14"/>
        <v>15</v>
      </c>
      <c r="H146">
        <f t="shared" si="15"/>
        <v>1</v>
      </c>
    </row>
    <row r="147" spans="1:8" x14ac:dyDescent="0.25">
      <c r="A147" s="3" t="s">
        <v>67</v>
      </c>
      <c r="B147" s="1" t="s">
        <v>43</v>
      </c>
      <c r="C147" s="3" t="s">
        <v>69</v>
      </c>
      <c r="D147" t="s">
        <v>4</v>
      </c>
      <c r="E147">
        <v>1</v>
      </c>
      <c r="F147">
        <v>999</v>
      </c>
      <c r="G147">
        <f t="shared" si="14"/>
        <v>11</v>
      </c>
      <c r="H147">
        <f t="shared" si="15"/>
        <v>1</v>
      </c>
    </row>
    <row r="148" spans="1:8" x14ac:dyDescent="0.25">
      <c r="A148" s="16" t="s">
        <v>70</v>
      </c>
      <c r="B148" s="17" t="s">
        <v>10</v>
      </c>
      <c r="C148" s="16" t="s">
        <v>106</v>
      </c>
      <c r="D148" s="15" t="s">
        <v>4</v>
      </c>
      <c r="E148" s="15">
        <v>1</v>
      </c>
      <c r="F148" s="15">
        <v>999</v>
      </c>
      <c r="G148" s="15">
        <f t="shared" si="14"/>
        <v>23</v>
      </c>
      <c r="H148" s="15">
        <f t="shared" si="15"/>
        <v>1</v>
      </c>
    </row>
    <row r="149" spans="1:8" x14ac:dyDescent="0.25">
      <c r="A149" s="3" t="s">
        <v>71</v>
      </c>
      <c r="B149" s="1" t="s">
        <v>8</v>
      </c>
      <c r="C149" s="3">
        <v>312</v>
      </c>
      <c r="D149" t="s">
        <v>4</v>
      </c>
      <c r="E149">
        <v>1</v>
      </c>
      <c r="F149">
        <f>IF(AND((G149&lt;=3),(H149=0)),C149,"")</f>
        <v>312</v>
      </c>
      <c r="G149">
        <f t="shared" si="14"/>
        <v>3</v>
      </c>
      <c r="H149">
        <f t="shared" si="15"/>
        <v>0</v>
      </c>
    </row>
    <row r="150" spans="1:8" x14ac:dyDescent="0.25">
      <c r="A150" s="16" t="s">
        <v>119</v>
      </c>
      <c r="B150" s="17" t="s">
        <v>8</v>
      </c>
      <c r="C150" s="16">
        <v>312</v>
      </c>
      <c r="D150" s="15" t="s">
        <v>4</v>
      </c>
      <c r="E150" s="15">
        <v>1</v>
      </c>
      <c r="F150" s="15">
        <f>IF(AND((G150&lt;=3),(H150=0)),C150,"")</f>
        <v>312</v>
      </c>
      <c r="G150" s="15">
        <f t="shared" si="14"/>
        <v>3</v>
      </c>
      <c r="H150" s="15">
        <f t="shared" si="15"/>
        <v>0</v>
      </c>
    </row>
    <row r="151" spans="1:8" x14ac:dyDescent="0.25">
      <c r="A151" s="3">
        <v>2202</v>
      </c>
      <c r="B151" s="1" t="s">
        <v>6</v>
      </c>
      <c r="C151" s="3" t="s">
        <v>72</v>
      </c>
      <c r="D151" t="s">
        <v>4</v>
      </c>
      <c r="E151">
        <v>1</v>
      </c>
      <c r="F151">
        <v>999</v>
      </c>
      <c r="G151">
        <f t="shared" si="14"/>
        <v>24</v>
      </c>
      <c r="H151">
        <f t="shared" si="15"/>
        <v>1</v>
      </c>
    </row>
    <row r="152" spans="1:8" x14ac:dyDescent="0.25">
      <c r="A152" s="3">
        <v>2203</v>
      </c>
      <c r="B152" s="1" t="s">
        <v>8</v>
      </c>
      <c r="C152" s="4" t="s">
        <v>9</v>
      </c>
      <c r="D152" t="s">
        <v>4</v>
      </c>
      <c r="E152">
        <v>1</v>
      </c>
      <c r="F152">
        <v>999</v>
      </c>
      <c r="G152">
        <f t="shared" si="14"/>
        <v>11</v>
      </c>
      <c r="H152">
        <f t="shared" si="15"/>
        <v>1</v>
      </c>
    </row>
    <row r="153" spans="1:8" x14ac:dyDescent="0.25">
      <c r="A153" s="3" t="s">
        <v>73</v>
      </c>
      <c r="B153" s="1" t="s">
        <v>8</v>
      </c>
      <c r="C153" s="4" t="s">
        <v>9</v>
      </c>
      <c r="D153" t="s">
        <v>4</v>
      </c>
      <c r="E153">
        <v>1</v>
      </c>
      <c r="F153">
        <v>999</v>
      </c>
      <c r="G153">
        <f t="shared" si="14"/>
        <v>11</v>
      </c>
      <c r="H153">
        <f t="shared" si="15"/>
        <v>1</v>
      </c>
    </row>
    <row r="154" spans="1:8" x14ac:dyDescent="0.25">
      <c r="A154" s="3" t="s">
        <v>74</v>
      </c>
      <c r="B154" s="1" t="s">
        <v>8</v>
      </c>
      <c r="C154" s="4" t="s">
        <v>9</v>
      </c>
      <c r="D154" t="s">
        <v>4</v>
      </c>
      <c r="E154">
        <v>1</v>
      </c>
      <c r="F154">
        <v>999</v>
      </c>
      <c r="G154">
        <f t="shared" si="14"/>
        <v>11</v>
      </c>
      <c r="H154">
        <f t="shared" si="15"/>
        <v>1</v>
      </c>
    </row>
    <row r="155" spans="1:8" x14ac:dyDescent="0.25">
      <c r="A155" s="3">
        <v>2206</v>
      </c>
      <c r="B155" s="1" t="s">
        <v>8</v>
      </c>
      <c r="C155" s="4" t="s">
        <v>9</v>
      </c>
      <c r="D155" t="s">
        <v>4</v>
      </c>
      <c r="E155">
        <v>1</v>
      </c>
      <c r="F155">
        <v>999</v>
      </c>
      <c r="G155">
        <f t="shared" si="14"/>
        <v>11</v>
      </c>
      <c r="H155">
        <f t="shared" si="15"/>
        <v>1</v>
      </c>
    </row>
    <row r="156" spans="1:8" x14ac:dyDescent="0.25">
      <c r="A156" s="3">
        <v>2207</v>
      </c>
      <c r="B156" s="1" t="s">
        <v>8</v>
      </c>
      <c r="C156" s="4" t="s">
        <v>9</v>
      </c>
      <c r="D156" t="s">
        <v>4</v>
      </c>
      <c r="E156">
        <v>1</v>
      </c>
      <c r="F156">
        <v>999</v>
      </c>
      <c r="G156">
        <f t="shared" si="14"/>
        <v>11</v>
      </c>
      <c r="H156">
        <f t="shared" si="15"/>
        <v>1</v>
      </c>
    </row>
    <row r="157" spans="1:8" x14ac:dyDescent="0.25">
      <c r="A157" s="3" t="s">
        <v>75</v>
      </c>
      <c r="B157" s="1" t="s">
        <v>8</v>
      </c>
      <c r="C157" s="4" t="s">
        <v>9</v>
      </c>
      <c r="D157" t="s">
        <v>4</v>
      </c>
      <c r="E157">
        <v>1</v>
      </c>
      <c r="F157">
        <v>999</v>
      </c>
      <c r="G157">
        <f t="shared" si="14"/>
        <v>11</v>
      </c>
      <c r="H157">
        <f t="shared" si="15"/>
        <v>1</v>
      </c>
    </row>
    <row r="158" spans="1:8" x14ac:dyDescent="0.25">
      <c r="A158" s="3" t="s">
        <v>76</v>
      </c>
      <c r="B158" s="1" t="s">
        <v>8</v>
      </c>
      <c r="C158" s="4" t="s">
        <v>9</v>
      </c>
      <c r="D158" t="s">
        <v>4</v>
      </c>
      <c r="E158">
        <v>1</v>
      </c>
      <c r="F158">
        <v>999</v>
      </c>
      <c r="G158">
        <f t="shared" si="14"/>
        <v>11</v>
      </c>
      <c r="H158">
        <f t="shared" si="15"/>
        <v>1</v>
      </c>
    </row>
    <row r="159" spans="1:8" x14ac:dyDescent="0.25">
      <c r="A159" s="3" t="s">
        <v>77</v>
      </c>
      <c r="B159" s="1" t="s">
        <v>8</v>
      </c>
      <c r="C159" s="4" t="s">
        <v>15</v>
      </c>
      <c r="D159" t="s">
        <v>4</v>
      </c>
      <c r="E159">
        <v>1</v>
      </c>
      <c r="F159">
        <v>999</v>
      </c>
      <c r="G159">
        <f t="shared" si="14"/>
        <v>11</v>
      </c>
      <c r="H159">
        <f t="shared" si="15"/>
        <v>1</v>
      </c>
    </row>
    <row r="160" spans="1:8" x14ac:dyDescent="0.25">
      <c r="A160" s="3" t="s">
        <v>78</v>
      </c>
      <c r="B160" s="1" t="s">
        <v>8</v>
      </c>
      <c r="C160" s="4" t="s">
        <v>15</v>
      </c>
      <c r="D160" t="s">
        <v>4</v>
      </c>
      <c r="E160">
        <v>1</v>
      </c>
      <c r="F160">
        <v>999</v>
      </c>
      <c r="G160">
        <f t="shared" si="14"/>
        <v>11</v>
      </c>
      <c r="H160">
        <f t="shared" si="15"/>
        <v>1</v>
      </c>
    </row>
    <row r="161" spans="1:8" x14ac:dyDescent="0.25">
      <c r="A161" s="3" t="s">
        <v>79</v>
      </c>
      <c r="B161" s="1" t="s">
        <v>8</v>
      </c>
      <c r="C161" s="4" t="s">
        <v>9</v>
      </c>
      <c r="D161" t="s">
        <v>4</v>
      </c>
      <c r="E161">
        <v>1</v>
      </c>
      <c r="F161">
        <v>999</v>
      </c>
      <c r="G161">
        <f t="shared" si="14"/>
        <v>11</v>
      </c>
      <c r="H161">
        <f t="shared" si="15"/>
        <v>1</v>
      </c>
    </row>
    <row r="162" spans="1:8" x14ac:dyDescent="0.25">
      <c r="A162" s="3" t="s">
        <v>79</v>
      </c>
      <c r="B162" t="s">
        <v>8</v>
      </c>
      <c r="C162" s="3">
        <v>278</v>
      </c>
      <c r="D162" t="s">
        <v>4</v>
      </c>
      <c r="E162">
        <v>1</v>
      </c>
      <c r="F162">
        <f>IF(AND((G162&lt;=3),(H162=0)),C162,"")</f>
        <v>278</v>
      </c>
      <c r="G162">
        <f t="shared" si="14"/>
        <v>3</v>
      </c>
      <c r="H162">
        <f t="shared" si="15"/>
        <v>0</v>
      </c>
    </row>
    <row r="163" spans="1:8" x14ac:dyDescent="0.25">
      <c r="A163" s="3" t="s">
        <v>79</v>
      </c>
      <c r="B163" t="s">
        <v>8</v>
      </c>
      <c r="C163" s="3" t="s">
        <v>14</v>
      </c>
      <c r="D163" t="s">
        <v>4</v>
      </c>
      <c r="E163">
        <v>2</v>
      </c>
      <c r="F163">
        <v>999</v>
      </c>
      <c r="G163">
        <f t="shared" si="14"/>
        <v>10</v>
      </c>
      <c r="H163">
        <f t="shared" si="15"/>
        <v>1</v>
      </c>
    </row>
    <row r="164" spans="1:8" x14ac:dyDescent="0.25">
      <c r="A164" s="3" t="s">
        <v>80</v>
      </c>
      <c r="B164" s="1" t="s">
        <v>8</v>
      </c>
      <c r="C164" s="3" t="s">
        <v>72</v>
      </c>
      <c r="D164" t="s">
        <v>4</v>
      </c>
      <c r="E164">
        <v>1</v>
      </c>
      <c r="F164">
        <v>999</v>
      </c>
      <c r="G164">
        <f t="shared" si="14"/>
        <v>24</v>
      </c>
      <c r="H164">
        <f t="shared" si="15"/>
        <v>1</v>
      </c>
    </row>
    <row r="165" spans="1:8" x14ac:dyDescent="0.25">
      <c r="A165" s="3" t="s">
        <v>81</v>
      </c>
      <c r="B165" s="1" t="s">
        <v>8</v>
      </c>
      <c r="C165" s="3" t="s">
        <v>72</v>
      </c>
      <c r="D165" t="s">
        <v>4</v>
      </c>
      <c r="E165">
        <v>1</v>
      </c>
      <c r="F165">
        <v>999</v>
      </c>
      <c r="G165">
        <f t="shared" si="14"/>
        <v>24</v>
      </c>
      <c r="H165">
        <f t="shared" si="15"/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4EA5-35E8-9943-BBCA-63E68AA923AE}">
  <dimension ref="A1:R166"/>
  <sheetViews>
    <sheetView workbookViewId="0">
      <selection activeCell="A3" sqref="A3:I166"/>
    </sheetView>
  </sheetViews>
  <sheetFormatPr defaultColWidth="11" defaultRowHeight="15.75" x14ac:dyDescent="0.25"/>
  <cols>
    <col min="2" max="2" width="20.125" style="3" customWidth="1"/>
    <col min="3" max="3" width="25.625" customWidth="1"/>
    <col min="4" max="4" width="33.375" style="3" customWidth="1"/>
    <col min="5" max="5" width="21" customWidth="1"/>
    <col min="10" max="10" width="23" customWidth="1"/>
    <col min="11" max="11" width="22.5" customWidth="1"/>
    <col min="14" max="14" width="14.625" customWidth="1"/>
    <col min="16" max="16" width="28.625" customWidth="1"/>
  </cols>
  <sheetData>
    <row r="1" spans="1:18" x14ac:dyDescent="0.25">
      <c r="B1" t="s">
        <v>85</v>
      </c>
      <c r="D1" t="s">
        <v>86</v>
      </c>
      <c r="F1" s="7"/>
      <c r="J1" s="19" t="s">
        <v>92</v>
      </c>
      <c r="K1" s="19"/>
      <c r="L1" s="19"/>
    </row>
    <row r="2" spans="1:18" x14ac:dyDescent="0.25">
      <c r="A2" t="s">
        <v>93</v>
      </c>
      <c r="B2" s="3" t="s">
        <v>87</v>
      </c>
      <c r="C2" t="s">
        <v>0</v>
      </c>
      <c r="D2" s="3" t="s">
        <v>87</v>
      </c>
      <c r="E2" t="s">
        <v>1</v>
      </c>
      <c r="F2" s="7" t="s">
        <v>103</v>
      </c>
      <c r="G2" t="s">
        <v>98</v>
      </c>
      <c r="H2" t="s">
        <v>99</v>
      </c>
      <c r="I2" t="s">
        <v>100</v>
      </c>
      <c r="J2" t="s">
        <v>88</v>
      </c>
      <c r="K2" t="s">
        <v>89</v>
      </c>
      <c r="L2" t="s">
        <v>90</v>
      </c>
      <c r="N2" t="s">
        <v>95</v>
      </c>
      <c r="R2" t="s">
        <v>97</v>
      </c>
    </row>
    <row r="3" spans="1:18" x14ac:dyDescent="0.25">
      <c r="A3">
        <f t="shared" ref="A3:A34" si="0">VLOOKUP(CONCATENATE(B3,C3),$K$2:$L$155,2,FALSE)</f>
        <v>1</v>
      </c>
      <c r="B3" s="3">
        <v>301</v>
      </c>
      <c r="C3" t="s">
        <v>4</v>
      </c>
      <c r="D3" s="3">
        <v>234</v>
      </c>
      <c r="E3" t="s">
        <v>4</v>
      </c>
      <c r="F3" s="6">
        <v>1</v>
      </c>
      <c r="G3">
        <f t="shared" ref="G3:G66" si="1">IF(AND((H3&lt;=3),(I3=0)),D3,"")</f>
        <v>234</v>
      </c>
      <c r="H3">
        <f t="shared" ref="H3:H34" si="2">LEN(D3)</f>
        <v>3</v>
      </c>
      <c r="I3">
        <f t="shared" ref="I3:I34" si="3">IF(LEFT(D3,1)="V",1,0)</f>
        <v>0</v>
      </c>
      <c r="J3" t="str">
        <f>CONCATENATE(B3,C3)</f>
        <v>301&gt;0</v>
      </c>
      <c r="K3" t="str" cm="1">
        <f t="array" ref="K3:K99">_xlfn.UNIQUE(J3:J166)</f>
        <v>301&gt;0</v>
      </c>
      <c r="L3">
        <v>1</v>
      </c>
      <c r="N3" t="str">
        <f>CONCATENATE("{label:'Rincian ",K3,"' , value:",L3,"},")</f>
        <v>{label:'Rincian 301&gt;0' , value:1},</v>
      </c>
      <c r="R3" t="str">
        <f>CONCATENATE("{idk:",A3,", rincian:'Rincian ",D3,"', kondisi: '",E3,"', fatal:",F3,"},")</f>
        <v>{idk:1, rincian:'Rincian 234', kondisi: '&gt;0', fatal:1},</v>
      </c>
    </row>
    <row r="4" spans="1:18" x14ac:dyDescent="0.25">
      <c r="A4">
        <f t="shared" si="0"/>
        <v>1</v>
      </c>
      <c r="B4" s="3">
        <v>301</v>
      </c>
      <c r="C4" t="s">
        <v>4</v>
      </c>
      <c r="D4" s="3">
        <v>241</v>
      </c>
      <c r="E4" t="s">
        <v>4</v>
      </c>
      <c r="F4" s="6">
        <v>1</v>
      </c>
      <c r="G4">
        <f t="shared" si="1"/>
        <v>241</v>
      </c>
      <c r="H4">
        <f t="shared" si="2"/>
        <v>3</v>
      </c>
      <c r="I4">
        <f t="shared" si="3"/>
        <v>0</v>
      </c>
      <c r="J4" t="str">
        <f t="shared" ref="J4:J67" si="4">CONCATENATE(B4,C4)</f>
        <v>301&gt;0</v>
      </c>
      <c r="K4" t="str">
        <v>403=8</v>
      </c>
      <c r="L4">
        <v>2</v>
      </c>
      <c r="N4" t="str">
        <f t="shared" ref="N4:N67" si="5">CONCATENATE("{label:'Rincian ",K4,"' , value:",L4,"},")</f>
        <v>{label:'Rincian 403=8' , value:2},</v>
      </c>
      <c r="R4" t="str">
        <f t="shared" ref="R4:R67" si="6">CONCATENATE("{idk:",A4,", rincian:'Rincian ",D4,"', kondisi: '",E4,"', fatal:",F4,"},")</f>
        <v>{idk:1, rincian:'Rincian 241', kondisi: '&gt;0', fatal:1},</v>
      </c>
    </row>
    <row r="5" spans="1:18" x14ac:dyDescent="0.25">
      <c r="A5">
        <f t="shared" si="0"/>
        <v>1</v>
      </c>
      <c r="B5" s="3">
        <v>301</v>
      </c>
      <c r="C5" t="s">
        <v>4</v>
      </c>
      <c r="D5" s="3">
        <v>242</v>
      </c>
      <c r="E5" t="s">
        <v>4</v>
      </c>
      <c r="F5" s="6">
        <v>1</v>
      </c>
      <c r="G5">
        <f t="shared" si="1"/>
        <v>242</v>
      </c>
      <c r="H5">
        <f t="shared" si="2"/>
        <v>3</v>
      </c>
      <c r="I5">
        <f t="shared" si="3"/>
        <v>0</v>
      </c>
      <c r="J5" t="str">
        <f t="shared" si="4"/>
        <v>301&gt;0</v>
      </c>
      <c r="K5" t="str">
        <v>407&lt;1</v>
      </c>
      <c r="L5">
        <v>3</v>
      </c>
      <c r="N5" t="str">
        <f t="shared" si="5"/>
        <v>{label:'Rincian 407&lt;1' , value:3},</v>
      </c>
      <c r="R5" t="str">
        <f t="shared" si="6"/>
        <v>{idk:1, rincian:'Rincian 242', kondisi: '&gt;0', fatal:1},</v>
      </c>
    </row>
    <row r="6" spans="1:18" x14ac:dyDescent="0.25">
      <c r="A6">
        <f t="shared" si="0"/>
        <v>1</v>
      </c>
      <c r="B6" s="3">
        <v>301</v>
      </c>
      <c r="C6" t="s">
        <v>4</v>
      </c>
      <c r="D6" s="3">
        <v>243</v>
      </c>
      <c r="E6" t="s">
        <v>4</v>
      </c>
      <c r="F6" s="6">
        <v>2</v>
      </c>
      <c r="G6">
        <f t="shared" si="1"/>
        <v>243</v>
      </c>
      <c r="H6">
        <f t="shared" si="2"/>
        <v>3</v>
      </c>
      <c r="I6">
        <f t="shared" si="3"/>
        <v>0</v>
      </c>
      <c r="J6" t="str">
        <f t="shared" si="4"/>
        <v>301&gt;0</v>
      </c>
      <c r="K6" t="str">
        <v>407&lt;5</v>
      </c>
      <c r="L6">
        <v>4</v>
      </c>
      <c r="N6" t="str">
        <f t="shared" si="5"/>
        <v>{label:'Rincian 407&lt;5' , value:4},</v>
      </c>
      <c r="R6" t="str">
        <f t="shared" si="6"/>
        <v>{idk:1, rincian:'Rincian 243', kondisi: '&gt;0', fatal:2},</v>
      </c>
    </row>
    <row r="7" spans="1:18" x14ac:dyDescent="0.25">
      <c r="A7">
        <f t="shared" si="0"/>
        <v>1</v>
      </c>
      <c r="B7" s="3">
        <v>301</v>
      </c>
      <c r="C7" t="s">
        <v>4</v>
      </c>
      <c r="D7" s="3">
        <v>247</v>
      </c>
      <c r="E7" t="s">
        <v>4</v>
      </c>
      <c r="F7" s="6">
        <v>2</v>
      </c>
      <c r="G7">
        <f t="shared" si="1"/>
        <v>247</v>
      </c>
      <c r="H7">
        <f t="shared" si="2"/>
        <v>3</v>
      </c>
      <c r="I7">
        <f t="shared" si="3"/>
        <v>0</v>
      </c>
      <c r="J7" t="str">
        <f t="shared" si="4"/>
        <v>301&gt;0</v>
      </c>
      <c r="K7" t="str">
        <v>409 - rincian 407&lt;=1</v>
      </c>
      <c r="L7">
        <v>5</v>
      </c>
      <c r="N7" t="str">
        <f t="shared" si="5"/>
        <v>{label:'Rincian 409 - rincian 407&lt;=1' , value:5},</v>
      </c>
      <c r="R7" t="str">
        <f t="shared" si="6"/>
        <v>{idk:1, rincian:'Rincian 247', kondisi: '&gt;0', fatal:2},</v>
      </c>
    </row>
    <row r="8" spans="1:18" x14ac:dyDescent="0.25">
      <c r="A8">
        <f t="shared" si="0"/>
        <v>1</v>
      </c>
      <c r="B8" s="3">
        <v>301</v>
      </c>
      <c r="C8" t="s">
        <v>4</v>
      </c>
      <c r="D8" s="3">
        <v>279</v>
      </c>
      <c r="E8" t="s">
        <v>4</v>
      </c>
      <c r="F8" s="6">
        <v>2</v>
      </c>
      <c r="G8">
        <f t="shared" si="1"/>
        <v>279</v>
      </c>
      <c r="H8">
        <f t="shared" si="2"/>
        <v>3</v>
      </c>
      <c r="I8">
        <f t="shared" si="3"/>
        <v>0</v>
      </c>
      <c r="J8" t="str">
        <f t="shared" si="4"/>
        <v>301&gt;0</v>
      </c>
      <c r="K8" t="str">
        <v>605=1,2</v>
      </c>
      <c r="L8">
        <v>6</v>
      </c>
      <c r="N8" t="str">
        <f t="shared" si="5"/>
        <v>{label:'Rincian 605=1,2' , value:6},</v>
      </c>
      <c r="R8" t="str">
        <f t="shared" si="6"/>
        <v>{idk:1, rincian:'Rincian 279', kondisi: '&gt;0', fatal:2},</v>
      </c>
    </row>
    <row r="9" spans="1:18" x14ac:dyDescent="0.25">
      <c r="A9">
        <f t="shared" si="0"/>
        <v>1</v>
      </c>
      <c r="B9" s="3">
        <v>301</v>
      </c>
      <c r="C9" t="s">
        <v>4</v>
      </c>
      <c r="D9" s="3">
        <v>280</v>
      </c>
      <c r="E9" t="s">
        <v>4</v>
      </c>
      <c r="F9" s="6">
        <v>2</v>
      </c>
      <c r="G9">
        <f t="shared" si="1"/>
        <v>280</v>
      </c>
      <c r="H9">
        <f t="shared" si="2"/>
        <v>3</v>
      </c>
      <c r="I9">
        <f t="shared" si="3"/>
        <v>0</v>
      </c>
      <c r="J9" t="str">
        <f t="shared" si="4"/>
        <v>301&gt;0</v>
      </c>
      <c r="K9" t="str">
        <v>610=2</v>
      </c>
      <c r="L9">
        <v>7</v>
      </c>
      <c r="N9" t="str">
        <f t="shared" si="5"/>
        <v>{label:'Rincian 610=2' , value:7},</v>
      </c>
      <c r="R9" t="str">
        <f t="shared" si="6"/>
        <v>{idk:1, rincian:'Rincian 280', kondisi: '&gt;0', fatal:2},</v>
      </c>
    </row>
    <row r="10" spans="1:18" x14ac:dyDescent="0.25">
      <c r="A10">
        <f t="shared" si="0"/>
        <v>2</v>
      </c>
      <c r="B10" s="3">
        <v>403</v>
      </c>
      <c r="C10" s="1" t="s">
        <v>84</v>
      </c>
      <c r="D10" s="3">
        <v>277</v>
      </c>
      <c r="E10" t="s">
        <v>4</v>
      </c>
      <c r="F10">
        <v>1</v>
      </c>
      <c r="G10">
        <f t="shared" si="1"/>
        <v>277</v>
      </c>
      <c r="H10">
        <f t="shared" si="2"/>
        <v>3</v>
      </c>
      <c r="I10">
        <f t="shared" si="3"/>
        <v>0</v>
      </c>
      <c r="J10" t="str">
        <f t="shared" si="4"/>
        <v>403=8</v>
      </c>
      <c r="K10" t="str">
        <v>616=1</v>
      </c>
      <c r="L10">
        <v>8</v>
      </c>
      <c r="N10" t="str">
        <f t="shared" si="5"/>
        <v>{label:'Rincian 616=1' , value:8},</v>
      </c>
      <c r="R10" t="str">
        <f t="shared" si="6"/>
        <v>{idk:2, rincian:'Rincian 277', kondisi: '&gt;0', fatal:1},</v>
      </c>
    </row>
    <row r="11" spans="1:18" x14ac:dyDescent="0.25">
      <c r="A11">
        <f t="shared" si="0"/>
        <v>3</v>
      </c>
      <c r="B11" s="3">
        <v>407</v>
      </c>
      <c r="C11" t="s">
        <v>2</v>
      </c>
      <c r="D11" s="3">
        <v>259</v>
      </c>
      <c r="E11" t="s">
        <v>4</v>
      </c>
      <c r="F11">
        <v>2</v>
      </c>
      <c r="G11">
        <f t="shared" si="1"/>
        <v>259</v>
      </c>
      <c r="H11">
        <f t="shared" si="2"/>
        <v>3</v>
      </c>
      <c r="I11">
        <f t="shared" si="3"/>
        <v>0</v>
      </c>
      <c r="J11" t="str">
        <f t="shared" si="4"/>
        <v>407&lt;1</v>
      </c>
      <c r="K11" t="str">
        <v>617=1</v>
      </c>
      <c r="L11">
        <v>9</v>
      </c>
      <c r="N11" t="str">
        <f t="shared" si="5"/>
        <v>{label:'Rincian 617=1' , value:9},</v>
      </c>
      <c r="R11" t="str">
        <f t="shared" si="6"/>
        <v>{idk:3, rincian:'Rincian 259', kondisi: '&gt;0', fatal:2},</v>
      </c>
    </row>
    <row r="12" spans="1:18" x14ac:dyDescent="0.25">
      <c r="A12">
        <f t="shared" si="0"/>
        <v>3</v>
      </c>
      <c r="B12" s="3">
        <v>407</v>
      </c>
      <c r="C12" t="s">
        <v>2</v>
      </c>
      <c r="D12" s="3">
        <v>264</v>
      </c>
      <c r="E12" t="s">
        <v>4</v>
      </c>
      <c r="F12">
        <v>2</v>
      </c>
      <c r="G12">
        <f t="shared" si="1"/>
        <v>264</v>
      </c>
      <c r="H12">
        <f t="shared" si="2"/>
        <v>3</v>
      </c>
      <c r="I12">
        <f t="shared" si="3"/>
        <v>0</v>
      </c>
      <c r="J12" t="str">
        <f t="shared" si="4"/>
        <v>407&lt;1</v>
      </c>
      <c r="K12" t="str">
        <v>620=2</v>
      </c>
      <c r="L12">
        <v>10</v>
      </c>
      <c r="N12" t="str">
        <f t="shared" si="5"/>
        <v>{label:'Rincian 620=2' , value:10},</v>
      </c>
      <c r="R12" t="str">
        <f t="shared" si="6"/>
        <v>{idk:3, rincian:'Rincian 264', kondisi: '&gt;0', fatal:2},</v>
      </c>
    </row>
    <row r="13" spans="1:18" x14ac:dyDescent="0.25">
      <c r="A13">
        <f t="shared" si="0"/>
        <v>3</v>
      </c>
      <c r="B13" s="3">
        <v>407</v>
      </c>
      <c r="C13" t="s">
        <v>2</v>
      </c>
      <c r="D13" s="3">
        <v>283</v>
      </c>
      <c r="E13" t="s">
        <v>4</v>
      </c>
      <c r="F13">
        <v>1</v>
      </c>
      <c r="G13">
        <f t="shared" si="1"/>
        <v>283</v>
      </c>
      <c r="H13">
        <f t="shared" si="2"/>
        <v>3</v>
      </c>
      <c r="I13">
        <f t="shared" si="3"/>
        <v>0</v>
      </c>
      <c r="J13" t="str">
        <f t="shared" si="4"/>
        <v>407&lt;1</v>
      </c>
      <c r="K13" t="str">
        <v>701=1</v>
      </c>
      <c r="L13">
        <v>11</v>
      </c>
      <c r="N13" t="str">
        <f t="shared" si="5"/>
        <v>{label:'Rincian 701=1' , value:11},</v>
      </c>
      <c r="R13" t="str">
        <f t="shared" si="6"/>
        <v>{idk:3, rincian:'Rincian 283', kondisi: '&gt;0', fatal:1},</v>
      </c>
    </row>
    <row r="14" spans="1:18" x14ac:dyDescent="0.25">
      <c r="A14">
        <f t="shared" si="0"/>
        <v>3</v>
      </c>
      <c r="B14" s="3">
        <v>407</v>
      </c>
      <c r="C14" t="s">
        <v>2</v>
      </c>
      <c r="D14" s="3">
        <v>254</v>
      </c>
      <c r="E14" t="s">
        <v>4</v>
      </c>
      <c r="F14">
        <v>2</v>
      </c>
      <c r="G14">
        <f t="shared" si="1"/>
        <v>254</v>
      </c>
      <c r="H14">
        <f t="shared" si="2"/>
        <v>3</v>
      </c>
      <c r="I14">
        <f t="shared" si="3"/>
        <v>0</v>
      </c>
      <c r="J14" t="str">
        <f t="shared" si="4"/>
        <v>407&lt;1</v>
      </c>
      <c r="K14" t="str">
        <v>706=1,2,3</v>
      </c>
      <c r="L14">
        <v>12</v>
      </c>
      <c r="N14" t="str">
        <f t="shared" si="5"/>
        <v>{label:'Rincian 706=1,2,3' , value:12},</v>
      </c>
      <c r="R14" t="str">
        <f t="shared" si="6"/>
        <v>{idk:3, rincian:'Rincian 254', kondisi: '&gt;0', fatal:2},</v>
      </c>
    </row>
    <row r="15" spans="1:18" x14ac:dyDescent="0.25">
      <c r="A15">
        <f t="shared" si="0"/>
        <v>3</v>
      </c>
      <c r="B15" s="3">
        <v>407</v>
      </c>
      <c r="C15" t="s">
        <v>2</v>
      </c>
      <c r="D15" s="3">
        <v>319</v>
      </c>
      <c r="E15" t="s">
        <v>4</v>
      </c>
      <c r="F15">
        <v>2</v>
      </c>
      <c r="G15">
        <f t="shared" si="1"/>
        <v>319</v>
      </c>
      <c r="H15">
        <f t="shared" si="2"/>
        <v>3</v>
      </c>
      <c r="I15">
        <f t="shared" si="3"/>
        <v>0</v>
      </c>
      <c r="J15" t="str">
        <f t="shared" si="4"/>
        <v>407&lt;1</v>
      </c>
      <c r="K15" t="str">
        <v>706=4,5</v>
      </c>
      <c r="L15">
        <v>13</v>
      </c>
      <c r="N15" t="str">
        <f t="shared" si="5"/>
        <v>{label:'Rincian 706=4,5' , value:13},</v>
      </c>
      <c r="R15" t="str">
        <f t="shared" si="6"/>
        <v>{idk:3, rincian:'Rincian 319', kondisi: '&gt;0', fatal:2},</v>
      </c>
    </row>
    <row r="16" spans="1:18" x14ac:dyDescent="0.25">
      <c r="A16">
        <f t="shared" si="0"/>
        <v>3</v>
      </c>
      <c r="B16" s="3">
        <v>407</v>
      </c>
      <c r="C16" t="s">
        <v>2</v>
      </c>
      <c r="D16" s="3" t="s">
        <v>106</v>
      </c>
      <c r="E16" t="s">
        <v>4</v>
      </c>
      <c r="F16">
        <v>2</v>
      </c>
      <c r="G16">
        <v>999</v>
      </c>
      <c r="H16">
        <f t="shared" si="2"/>
        <v>23</v>
      </c>
      <c r="I16">
        <f t="shared" si="3"/>
        <v>1</v>
      </c>
      <c r="J16" t="str">
        <f t="shared" si="4"/>
        <v>407&lt;1</v>
      </c>
      <c r="K16" t="str">
        <v>709=1</v>
      </c>
      <c r="L16">
        <v>14</v>
      </c>
      <c r="N16" t="str">
        <f t="shared" si="5"/>
        <v>{label:'Rincian 709=1' , value:14},</v>
      </c>
      <c r="R16" t="str">
        <f t="shared" si="6"/>
        <v>{idk:3, rincian:'Rincian VE 3 kol 2 + VE 3 kol 3', kondisi: '&gt;0', fatal:2},</v>
      </c>
    </row>
    <row r="17" spans="1:18" x14ac:dyDescent="0.25">
      <c r="A17">
        <f t="shared" si="0"/>
        <v>3</v>
      </c>
      <c r="B17" s="3">
        <v>407</v>
      </c>
      <c r="C17" t="s">
        <v>2</v>
      </c>
      <c r="D17" s="3" t="s">
        <v>107</v>
      </c>
      <c r="E17" t="s">
        <v>4</v>
      </c>
      <c r="F17">
        <v>2</v>
      </c>
      <c r="G17">
        <v>999</v>
      </c>
      <c r="H17">
        <f t="shared" si="2"/>
        <v>23</v>
      </c>
      <c r="I17">
        <f t="shared" si="3"/>
        <v>1</v>
      </c>
      <c r="J17" t="str">
        <f t="shared" si="4"/>
        <v>407&lt;1</v>
      </c>
      <c r="K17" t="str">
        <v>801=1</v>
      </c>
      <c r="L17">
        <v>15</v>
      </c>
      <c r="N17" t="str">
        <f t="shared" si="5"/>
        <v>{label:'Rincian 801=1' , value:15},</v>
      </c>
      <c r="R17" t="str">
        <f t="shared" si="6"/>
        <v>{idk:3, rincian:'Rincian VE 3 kol 4 + VE 3 kol 5', kondisi: '&gt;0', fatal:2},</v>
      </c>
    </row>
    <row r="18" spans="1:18" x14ac:dyDescent="0.25">
      <c r="A18">
        <f t="shared" si="0"/>
        <v>4</v>
      </c>
      <c r="B18" s="3">
        <v>407</v>
      </c>
      <c r="C18" t="s">
        <v>3</v>
      </c>
      <c r="D18" s="3" t="s">
        <v>29</v>
      </c>
      <c r="E18" t="s">
        <v>4</v>
      </c>
      <c r="F18">
        <v>2</v>
      </c>
      <c r="G18">
        <v>70</v>
      </c>
      <c r="H18">
        <f t="shared" si="2"/>
        <v>14</v>
      </c>
      <c r="I18">
        <f t="shared" si="3"/>
        <v>0</v>
      </c>
      <c r="J18" t="str">
        <f t="shared" si="4"/>
        <v>407&lt;5</v>
      </c>
      <c r="K18" t="str">
        <v>802=1</v>
      </c>
      <c r="L18">
        <v>16</v>
      </c>
      <c r="N18" t="str">
        <f t="shared" si="5"/>
        <v>{label:'Rincian 802=1' , value:16},</v>
      </c>
      <c r="R18" t="str">
        <f t="shared" si="6"/>
        <v>{idk:4, rincian:'Rincian 70+71+72+73+74', kondisi: '&gt;0', fatal:2},</v>
      </c>
    </row>
    <row r="19" spans="1:18" x14ac:dyDescent="0.25">
      <c r="A19">
        <f t="shared" si="0"/>
        <v>4</v>
      </c>
      <c r="B19" s="3">
        <v>407</v>
      </c>
      <c r="C19" t="s">
        <v>3</v>
      </c>
      <c r="D19" s="3">
        <v>157</v>
      </c>
      <c r="E19" t="s">
        <v>4</v>
      </c>
      <c r="F19">
        <v>2</v>
      </c>
      <c r="G19">
        <f t="shared" si="1"/>
        <v>157</v>
      </c>
      <c r="H19">
        <f t="shared" si="2"/>
        <v>3</v>
      </c>
      <c r="I19">
        <f t="shared" si="3"/>
        <v>0</v>
      </c>
      <c r="J19" t="str">
        <f t="shared" si="4"/>
        <v>407&lt;5</v>
      </c>
      <c r="K19" t="str">
        <v>803+804+805+806&gt;0</v>
      </c>
      <c r="L19">
        <v>17</v>
      </c>
      <c r="N19" t="str">
        <f t="shared" si="5"/>
        <v>{label:'Rincian 803+804+805+806&gt;0' , value:17},</v>
      </c>
      <c r="R19" t="str">
        <f t="shared" si="6"/>
        <v>{idk:4, rincian:'Rincian 157', kondisi: '&gt;0', fatal:2},</v>
      </c>
    </row>
    <row r="20" spans="1:18" x14ac:dyDescent="0.25">
      <c r="A20">
        <f t="shared" si="0"/>
        <v>4</v>
      </c>
      <c r="B20" s="3">
        <v>407</v>
      </c>
      <c r="C20" t="s">
        <v>3</v>
      </c>
      <c r="D20" s="3">
        <v>301</v>
      </c>
      <c r="E20" t="s">
        <v>4</v>
      </c>
      <c r="F20">
        <v>2</v>
      </c>
      <c r="G20">
        <f t="shared" si="1"/>
        <v>301</v>
      </c>
      <c r="H20">
        <f t="shared" si="2"/>
        <v>3</v>
      </c>
      <c r="I20">
        <f t="shared" si="3"/>
        <v>0</v>
      </c>
      <c r="J20" t="str">
        <f t="shared" si="4"/>
        <v>407&lt;5</v>
      </c>
      <c r="K20" t="str">
        <v>808=1</v>
      </c>
      <c r="L20">
        <v>18</v>
      </c>
      <c r="N20" t="str">
        <f t="shared" si="5"/>
        <v>{label:'Rincian 808=1' , value:18},</v>
      </c>
      <c r="R20" t="str">
        <f t="shared" si="6"/>
        <v>{idk:4, rincian:'Rincian 301', kondisi: '&gt;0', fatal:2},</v>
      </c>
    </row>
    <row r="21" spans="1:18" x14ac:dyDescent="0.25">
      <c r="A21">
        <f t="shared" si="0"/>
        <v>4</v>
      </c>
      <c r="B21" s="3">
        <v>407</v>
      </c>
      <c r="C21" s="1" t="s">
        <v>3</v>
      </c>
      <c r="D21" s="3">
        <v>247</v>
      </c>
      <c r="E21" t="s">
        <v>4</v>
      </c>
      <c r="F21">
        <v>2</v>
      </c>
      <c r="G21">
        <f t="shared" si="1"/>
        <v>247</v>
      </c>
      <c r="H21">
        <f t="shared" si="2"/>
        <v>3</v>
      </c>
      <c r="I21">
        <f t="shared" si="3"/>
        <v>0</v>
      </c>
      <c r="J21" t="str">
        <f t="shared" si="4"/>
        <v>407&lt;5</v>
      </c>
      <c r="K21" t="str">
        <v>811=E,F</v>
      </c>
      <c r="L21">
        <v>19</v>
      </c>
      <c r="N21" t="str">
        <f t="shared" si="5"/>
        <v>{label:'Rincian 811=E,F' , value:19},</v>
      </c>
      <c r="R21" t="str">
        <f t="shared" si="6"/>
        <v>{idk:4, rincian:'Rincian 247', kondisi: '&gt;0', fatal:2},</v>
      </c>
    </row>
    <row r="22" spans="1:18" x14ac:dyDescent="0.25">
      <c r="A22">
        <f t="shared" si="0"/>
        <v>4</v>
      </c>
      <c r="B22" s="3">
        <v>407</v>
      </c>
      <c r="C22" t="s">
        <v>3</v>
      </c>
      <c r="D22" s="3">
        <v>283</v>
      </c>
      <c r="E22" t="s">
        <v>4</v>
      </c>
      <c r="F22">
        <v>2</v>
      </c>
      <c r="G22">
        <f t="shared" si="1"/>
        <v>283</v>
      </c>
      <c r="H22">
        <f t="shared" si="2"/>
        <v>3</v>
      </c>
      <c r="I22">
        <f t="shared" si="3"/>
        <v>0</v>
      </c>
      <c r="J22" t="str">
        <f t="shared" si="4"/>
        <v>407&lt;5</v>
      </c>
      <c r="K22" t="str">
        <v>903&gt;0</v>
      </c>
      <c r="L22">
        <v>20</v>
      </c>
      <c r="N22" t="str">
        <f t="shared" si="5"/>
        <v>{label:'Rincian 903&gt;0' , value:20},</v>
      </c>
      <c r="R22" t="str">
        <f t="shared" si="6"/>
        <v>{idk:4, rincian:'Rincian 283', kondisi: '&gt;0', fatal:2},</v>
      </c>
    </row>
    <row r="23" spans="1:18" x14ac:dyDescent="0.25">
      <c r="A23">
        <f t="shared" si="0"/>
        <v>5</v>
      </c>
      <c r="B23" s="3" t="s">
        <v>96</v>
      </c>
      <c r="C23" s="1" t="s">
        <v>5</v>
      </c>
      <c r="D23" s="3">
        <v>315</v>
      </c>
      <c r="E23" t="s">
        <v>4</v>
      </c>
      <c r="F23">
        <v>1</v>
      </c>
      <c r="G23">
        <f t="shared" si="1"/>
        <v>315</v>
      </c>
      <c r="H23">
        <f t="shared" si="2"/>
        <v>3</v>
      </c>
      <c r="I23">
        <f t="shared" si="3"/>
        <v>0</v>
      </c>
      <c r="J23" t="str">
        <f t="shared" si="4"/>
        <v>409 - rincian 407&lt;=1</v>
      </c>
      <c r="K23" t="str">
        <v>1101=A</v>
      </c>
      <c r="L23">
        <v>21</v>
      </c>
      <c r="N23" t="str">
        <f t="shared" si="5"/>
        <v>{label:'Rincian 1101=A' , value:21},</v>
      </c>
      <c r="R23" t="str">
        <f t="shared" si="6"/>
        <v>{idk:5, rincian:'Rincian 315', kondisi: '&gt;0', fatal:1},</v>
      </c>
    </row>
    <row r="24" spans="1:18" x14ac:dyDescent="0.25">
      <c r="A24">
        <f t="shared" si="0"/>
        <v>5</v>
      </c>
      <c r="B24" s="3" t="s">
        <v>96</v>
      </c>
      <c r="C24" t="s">
        <v>5</v>
      </c>
      <c r="D24" s="3">
        <v>279</v>
      </c>
      <c r="E24" t="s">
        <v>4</v>
      </c>
      <c r="F24">
        <v>2</v>
      </c>
      <c r="G24">
        <f t="shared" si="1"/>
        <v>279</v>
      </c>
      <c r="H24">
        <f t="shared" si="2"/>
        <v>3</v>
      </c>
      <c r="I24">
        <f t="shared" si="3"/>
        <v>0</v>
      </c>
      <c r="J24" t="str">
        <f t="shared" si="4"/>
        <v>409 - rincian 407&lt;=1</v>
      </c>
      <c r="K24" t="str">
        <v>1101=A,B,C,D</v>
      </c>
      <c r="L24">
        <v>22</v>
      </c>
      <c r="N24" t="str">
        <f t="shared" si="5"/>
        <v>{label:'Rincian 1101=A,B,C,D' , value:22},</v>
      </c>
      <c r="R24" t="str">
        <f t="shared" si="6"/>
        <v>{idk:5, rincian:'Rincian 279', kondisi: '&gt;0', fatal:2},</v>
      </c>
    </row>
    <row r="25" spans="1:18" x14ac:dyDescent="0.25">
      <c r="A25">
        <f t="shared" si="0"/>
        <v>5</v>
      </c>
      <c r="B25" s="3" t="s">
        <v>96</v>
      </c>
      <c r="C25" t="s">
        <v>5</v>
      </c>
      <c r="D25" s="3" t="s">
        <v>106</v>
      </c>
      <c r="E25" t="s">
        <v>4</v>
      </c>
      <c r="F25">
        <v>2</v>
      </c>
      <c r="G25">
        <v>999</v>
      </c>
      <c r="H25">
        <f t="shared" si="2"/>
        <v>23</v>
      </c>
      <c r="I25">
        <f t="shared" si="3"/>
        <v>1</v>
      </c>
      <c r="J25" t="str">
        <f t="shared" si="4"/>
        <v>409 - rincian 407&lt;=1</v>
      </c>
      <c r="K25" t="str">
        <v>1104=1</v>
      </c>
      <c r="L25">
        <v>23</v>
      </c>
      <c r="N25" t="str">
        <f t="shared" si="5"/>
        <v>{label:'Rincian 1104=1' , value:23},</v>
      </c>
      <c r="R25" t="str">
        <f t="shared" si="6"/>
        <v>{idk:5, rincian:'Rincian VE 3 kol 2 + VE 3 kol 3', kondisi: '&gt;0', fatal:2},</v>
      </c>
    </row>
    <row r="26" spans="1:18" x14ac:dyDescent="0.25">
      <c r="A26">
        <f t="shared" si="0"/>
        <v>5</v>
      </c>
      <c r="B26" s="3" t="s">
        <v>96</v>
      </c>
      <c r="C26" s="1" t="s">
        <v>5</v>
      </c>
      <c r="D26" s="3" t="s">
        <v>107</v>
      </c>
      <c r="E26" t="s">
        <v>4</v>
      </c>
      <c r="F26">
        <v>2</v>
      </c>
      <c r="G26">
        <v>999</v>
      </c>
      <c r="H26">
        <f t="shared" si="2"/>
        <v>23</v>
      </c>
      <c r="I26">
        <f t="shared" si="3"/>
        <v>1</v>
      </c>
      <c r="J26" t="str">
        <f t="shared" si="4"/>
        <v>409 - rincian 407&lt;=1</v>
      </c>
      <c r="K26" t="str">
        <v>1107=A</v>
      </c>
      <c r="L26">
        <v>24</v>
      </c>
      <c r="N26" t="str">
        <f t="shared" si="5"/>
        <v>{label:'Rincian 1107=A' , value:24},</v>
      </c>
      <c r="R26" t="str">
        <f t="shared" si="6"/>
        <v>{idk:5, rincian:'Rincian VE 3 kol 4 + VE 3 kol 5', kondisi: '&gt;0', fatal:2},</v>
      </c>
    </row>
    <row r="27" spans="1:18" x14ac:dyDescent="0.25">
      <c r="A27">
        <f t="shared" si="0"/>
        <v>6</v>
      </c>
      <c r="B27" s="3">
        <v>605</v>
      </c>
      <c r="C27" s="1" t="s">
        <v>6</v>
      </c>
      <c r="D27" s="3">
        <v>267</v>
      </c>
      <c r="E27" t="s">
        <v>4</v>
      </c>
      <c r="F27">
        <v>1</v>
      </c>
      <c r="G27">
        <f t="shared" si="1"/>
        <v>267</v>
      </c>
      <c r="H27">
        <f t="shared" si="2"/>
        <v>3</v>
      </c>
      <c r="I27">
        <f t="shared" si="3"/>
        <v>0</v>
      </c>
      <c r="J27" t="str">
        <f t="shared" si="4"/>
        <v>605=1,2</v>
      </c>
      <c r="K27" t="str">
        <v>1107=B</v>
      </c>
      <c r="L27">
        <v>25</v>
      </c>
      <c r="N27" t="str">
        <f t="shared" si="5"/>
        <v>{label:'Rincian 1107=B' , value:25},</v>
      </c>
      <c r="R27" t="str">
        <f t="shared" si="6"/>
        <v>{idk:6, rincian:'Rincian 267', kondisi: '&gt;0', fatal:1},</v>
      </c>
    </row>
    <row r="28" spans="1:18" x14ac:dyDescent="0.25">
      <c r="A28">
        <f t="shared" si="0"/>
        <v>6</v>
      </c>
      <c r="B28" s="3">
        <v>605</v>
      </c>
      <c r="C28" s="1" t="s">
        <v>6</v>
      </c>
      <c r="D28" s="3">
        <v>269</v>
      </c>
      <c r="E28" t="s">
        <v>4</v>
      </c>
      <c r="F28">
        <v>2</v>
      </c>
      <c r="G28">
        <f t="shared" si="1"/>
        <v>269</v>
      </c>
      <c r="H28">
        <f t="shared" si="2"/>
        <v>3</v>
      </c>
      <c r="I28">
        <f t="shared" si="3"/>
        <v>0</v>
      </c>
      <c r="J28" t="str">
        <f t="shared" si="4"/>
        <v>605=1,2</v>
      </c>
      <c r="K28" t="str">
        <v>1107=C</v>
      </c>
      <c r="L28">
        <v>26</v>
      </c>
      <c r="N28" t="str">
        <f t="shared" si="5"/>
        <v>{label:'Rincian 1107=C' , value:26},</v>
      </c>
      <c r="R28" t="str">
        <f t="shared" si="6"/>
        <v>{idk:6, rincian:'Rincian 269', kondisi: '&gt;0', fatal:2},</v>
      </c>
    </row>
    <row r="29" spans="1:18" x14ac:dyDescent="0.25">
      <c r="A29">
        <f t="shared" si="0"/>
        <v>7</v>
      </c>
      <c r="B29" s="3">
        <v>610</v>
      </c>
      <c r="C29" s="1" t="s">
        <v>7</v>
      </c>
      <c r="D29" s="3">
        <v>265</v>
      </c>
      <c r="E29" t="s">
        <v>4</v>
      </c>
      <c r="F29">
        <v>1</v>
      </c>
      <c r="G29">
        <f t="shared" si="1"/>
        <v>265</v>
      </c>
      <c r="H29">
        <f t="shared" si="2"/>
        <v>3</v>
      </c>
      <c r="I29">
        <f t="shared" si="3"/>
        <v>0</v>
      </c>
      <c r="J29" t="str">
        <f t="shared" si="4"/>
        <v>610=2</v>
      </c>
      <c r="K29" t="str">
        <v>1107=D</v>
      </c>
      <c r="L29">
        <v>27</v>
      </c>
      <c r="N29" t="str">
        <f t="shared" si="5"/>
        <v>{label:'Rincian 1107=D' , value:27},</v>
      </c>
      <c r="R29" t="str">
        <f t="shared" si="6"/>
        <v>{idk:7, rincian:'Rincian 265', kondisi: '&gt;0', fatal:1},</v>
      </c>
    </row>
    <row r="30" spans="1:18" x14ac:dyDescent="0.25">
      <c r="A30">
        <f t="shared" si="0"/>
        <v>7</v>
      </c>
      <c r="B30" s="3">
        <v>610</v>
      </c>
      <c r="C30" t="s">
        <v>7</v>
      </c>
      <c r="D30" s="3">
        <v>266</v>
      </c>
      <c r="E30" t="s">
        <v>4</v>
      </c>
      <c r="F30">
        <v>1</v>
      </c>
      <c r="G30">
        <f t="shared" si="1"/>
        <v>266</v>
      </c>
      <c r="H30">
        <f t="shared" si="2"/>
        <v>3</v>
      </c>
      <c r="I30">
        <f t="shared" si="3"/>
        <v>0</v>
      </c>
      <c r="J30" t="str">
        <f t="shared" si="4"/>
        <v>610=2</v>
      </c>
      <c r="K30" t="str">
        <v>1107=E</v>
      </c>
      <c r="L30">
        <v>28</v>
      </c>
      <c r="N30" t="str">
        <f t="shared" si="5"/>
        <v>{label:'Rincian 1107=E' , value:28},</v>
      </c>
      <c r="R30" t="str">
        <f t="shared" si="6"/>
        <v>{idk:7, rincian:'Rincian 266', kondisi: '&gt;0', fatal:1},</v>
      </c>
    </row>
    <row r="31" spans="1:18" x14ac:dyDescent="0.25">
      <c r="A31">
        <f t="shared" si="0"/>
        <v>7</v>
      </c>
      <c r="B31" s="3">
        <v>610</v>
      </c>
      <c r="C31" s="1" t="s">
        <v>7</v>
      </c>
      <c r="D31" s="3">
        <v>269</v>
      </c>
      <c r="E31" t="s">
        <v>4</v>
      </c>
      <c r="F31">
        <v>1</v>
      </c>
      <c r="G31">
        <f t="shared" si="1"/>
        <v>269</v>
      </c>
      <c r="H31">
        <f t="shared" si="2"/>
        <v>3</v>
      </c>
      <c r="I31">
        <f t="shared" si="3"/>
        <v>0</v>
      </c>
      <c r="J31" t="str">
        <f t="shared" si="4"/>
        <v>610=2</v>
      </c>
      <c r="K31" t="str">
        <v>1107=F</v>
      </c>
      <c r="L31">
        <v>29</v>
      </c>
      <c r="N31" t="str">
        <f t="shared" si="5"/>
        <v>{label:'Rincian 1107=F' , value:29},</v>
      </c>
      <c r="R31" t="str">
        <f t="shared" si="6"/>
        <v>{idk:7, rincian:'Rincian 269', kondisi: '&gt;0', fatal:1},</v>
      </c>
    </row>
    <row r="32" spans="1:18" x14ac:dyDescent="0.25">
      <c r="A32">
        <f t="shared" si="0"/>
        <v>7</v>
      </c>
      <c r="B32" s="3">
        <v>610</v>
      </c>
      <c r="C32" t="s">
        <v>7</v>
      </c>
      <c r="D32" s="3">
        <v>268</v>
      </c>
      <c r="E32" t="s">
        <v>4</v>
      </c>
      <c r="F32">
        <v>2</v>
      </c>
      <c r="G32">
        <f t="shared" si="1"/>
        <v>268</v>
      </c>
      <c r="H32">
        <f t="shared" si="2"/>
        <v>3</v>
      </c>
      <c r="I32">
        <f t="shared" si="3"/>
        <v>0</v>
      </c>
      <c r="J32" t="str">
        <f t="shared" si="4"/>
        <v>610=2</v>
      </c>
      <c r="K32" t="str">
        <v>1107=G</v>
      </c>
      <c r="L32">
        <v>30</v>
      </c>
      <c r="N32" t="str">
        <f t="shared" si="5"/>
        <v>{label:'Rincian 1107=G' , value:30},</v>
      </c>
      <c r="R32" t="str">
        <f t="shared" si="6"/>
        <v>{idk:7, rincian:'Rincian 268', kondisi: '&gt;0', fatal:2},</v>
      </c>
    </row>
    <row r="33" spans="1:18" x14ac:dyDescent="0.25">
      <c r="A33">
        <f t="shared" si="0"/>
        <v>8</v>
      </c>
      <c r="B33" s="3">
        <v>616</v>
      </c>
      <c r="C33" s="1" t="s">
        <v>8</v>
      </c>
      <c r="D33" s="3">
        <v>278</v>
      </c>
      <c r="E33" t="s">
        <v>4</v>
      </c>
      <c r="F33">
        <v>2</v>
      </c>
      <c r="G33">
        <f t="shared" si="1"/>
        <v>278</v>
      </c>
      <c r="H33">
        <f t="shared" si="2"/>
        <v>3</v>
      </c>
      <c r="I33">
        <f t="shared" si="3"/>
        <v>0</v>
      </c>
      <c r="J33" t="str">
        <f t="shared" si="4"/>
        <v>616=1</v>
      </c>
      <c r="K33" t="str">
        <v>1107=H</v>
      </c>
      <c r="L33">
        <v>31</v>
      </c>
      <c r="N33" t="str">
        <f t="shared" si="5"/>
        <v>{label:'Rincian 1107=H' , value:31},</v>
      </c>
      <c r="R33" t="str">
        <f t="shared" si="6"/>
        <v>{idk:8, rincian:'Rincian 278', kondisi: '&gt;0', fatal:2},</v>
      </c>
    </row>
    <row r="34" spans="1:18" x14ac:dyDescent="0.25">
      <c r="A34">
        <f t="shared" si="0"/>
        <v>8</v>
      </c>
      <c r="B34" s="3">
        <v>616</v>
      </c>
      <c r="C34" s="1" t="s">
        <v>8</v>
      </c>
      <c r="D34" s="3" t="s">
        <v>14</v>
      </c>
      <c r="E34" t="s">
        <v>4</v>
      </c>
      <c r="F34">
        <v>2</v>
      </c>
      <c r="G34">
        <v>999</v>
      </c>
      <c r="H34">
        <f t="shared" si="2"/>
        <v>10</v>
      </c>
      <c r="I34">
        <f t="shared" si="3"/>
        <v>1</v>
      </c>
      <c r="J34" t="str">
        <f t="shared" si="4"/>
        <v>616=1</v>
      </c>
      <c r="K34" t="str">
        <v>1202=A</v>
      </c>
      <c r="L34">
        <v>32</v>
      </c>
      <c r="N34" t="str">
        <f t="shared" si="5"/>
        <v>{label:'Rincian 1202=A' , value:32},</v>
      </c>
      <c r="R34" t="str">
        <f t="shared" si="6"/>
        <v>{idk:8, rincian:'Rincian VD 4 kol 2', kondisi: '&gt;0', fatal:2},</v>
      </c>
    </row>
    <row r="35" spans="1:18" x14ac:dyDescent="0.25">
      <c r="A35">
        <f t="shared" ref="A35:A66" si="7">VLOOKUP(CONCATENATE(B35,C35),$K$2:$L$155,2,FALSE)</f>
        <v>9</v>
      </c>
      <c r="B35" s="3">
        <v>617</v>
      </c>
      <c r="C35" s="1" t="s">
        <v>8</v>
      </c>
      <c r="D35" s="3" t="s">
        <v>9</v>
      </c>
      <c r="E35" t="s">
        <v>4</v>
      </c>
      <c r="F35">
        <v>1</v>
      </c>
      <c r="G35">
        <v>999</v>
      </c>
      <c r="H35">
        <f t="shared" ref="H35:H66" si="8">LEN(D35)</f>
        <v>11</v>
      </c>
      <c r="I35">
        <f t="shared" ref="I35:I66" si="9">IF(LEFT(D35,1)="V",1,0)</f>
        <v>1</v>
      </c>
      <c r="J35" t="str">
        <f t="shared" si="4"/>
        <v>617=1</v>
      </c>
      <c r="K35" t="str">
        <v>1202=B</v>
      </c>
      <c r="L35">
        <v>33</v>
      </c>
      <c r="N35" t="str">
        <f t="shared" si="5"/>
        <v>{label:'Rincian 1202=B' , value:33},</v>
      </c>
      <c r="R35" t="str">
        <f t="shared" si="6"/>
        <v>{idk:9, rincian:'Rincian VE 1b kol 2', kondisi: '&gt;0', fatal:1},</v>
      </c>
    </row>
    <row r="36" spans="1:18" x14ac:dyDescent="0.25">
      <c r="A36">
        <f t="shared" si="7"/>
        <v>10</v>
      </c>
      <c r="B36" s="3">
        <v>620</v>
      </c>
      <c r="C36" t="s">
        <v>7</v>
      </c>
      <c r="D36" s="3">
        <v>266</v>
      </c>
      <c r="E36" t="s">
        <v>4</v>
      </c>
      <c r="F36">
        <v>1</v>
      </c>
      <c r="G36">
        <f t="shared" si="1"/>
        <v>266</v>
      </c>
      <c r="H36">
        <f t="shared" si="8"/>
        <v>3</v>
      </c>
      <c r="I36">
        <f t="shared" si="9"/>
        <v>0</v>
      </c>
      <c r="J36" t="str">
        <f t="shared" si="4"/>
        <v>620=2</v>
      </c>
      <c r="K36" t="str">
        <v>1202=C</v>
      </c>
      <c r="L36">
        <v>34</v>
      </c>
      <c r="N36" t="str">
        <f t="shared" si="5"/>
        <v>{label:'Rincian 1202=C' , value:34},</v>
      </c>
      <c r="R36" t="str">
        <f t="shared" si="6"/>
        <v>{idk:10, rincian:'Rincian 266', kondisi: '&gt;0', fatal:1},</v>
      </c>
    </row>
    <row r="37" spans="1:18" x14ac:dyDescent="0.25">
      <c r="A37">
        <f t="shared" si="7"/>
        <v>10</v>
      </c>
      <c r="B37" s="3">
        <v>620</v>
      </c>
      <c r="C37" s="1" t="s">
        <v>7</v>
      </c>
      <c r="D37" s="3">
        <v>269</v>
      </c>
      <c r="E37" t="s">
        <v>4</v>
      </c>
      <c r="F37">
        <v>1</v>
      </c>
      <c r="G37">
        <f t="shared" si="1"/>
        <v>269</v>
      </c>
      <c r="H37">
        <f t="shared" si="8"/>
        <v>3</v>
      </c>
      <c r="I37">
        <f t="shared" si="9"/>
        <v>0</v>
      </c>
      <c r="J37" t="str">
        <f t="shared" si="4"/>
        <v>620=2</v>
      </c>
      <c r="K37" t="str">
        <v>1202=D</v>
      </c>
      <c r="L37">
        <v>35</v>
      </c>
      <c r="N37" t="str">
        <f t="shared" si="5"/>
        <v>{label:'Rincian 1202=D' , value:35},</v>
      </c>
      <c r="R37" t="str">
        <f t="shared" si="6"/>
        <v>{idk:10, rincian:'Rincian 269', kondisi: '&gt;0', fatal:1},</v>
      </c>
    </row>
    <row r="38" spans="1:18" x14ac:dyDescent="0.25">
      <c r="A38">
        <f t="shared" si="7"/>
        <v>10</v>
      </c>
      <c r="B38" s="3">
        <v>620</v>
      </c>
      <c r="C38" s="1" t="s">
        <v>7</v>
      </c>
      <c r="D38" s="3">
        <v>268</v>
      </c>
      <c r="E38" t="s">
        <v>4</v>
      </c>
      <c r="F38">
        <v>2</v>
      </c>
      <c r="G38">
        <f t="shared" si="1"/>
        <v>268</v>
      </c>
      <c r="H38">
        <f t="shared" si="8"/>
        <v>3</v>
      </c>
      <c r="I38">
        <f t="shared" si="9"/>
        <v>0</v>
      </c>
      <c r="J38" t="str">
        <f t="shared" si="4"/>
        <v>620=2</v>
      </c>
      <c r="K38" t="str">
        <v>1202=E</v>
      </c>
      <c r="L38">
        <v>36</v>
      </c>
      <c r="N38" t="str">
        <f t="shared" si="5"/>
        <v>{label:'Rincian 1202=E' , value:36},</v>
      </c>
      <c r="R38" t="str">
        <f t="shared" si="6"/>
        <v>{idk:10, rincian:'Rincian 268', kondisi: '&gt;0', fatal:2},</v>
      </c>
    </row>
    <row r="39" spans="1:18" x14ac:dyDescent="0.25">
      <c r="A39">
        <f t="shared" si="7"/>
        <v>11</v>
      </c>
      <c r="B39" s="3">
        <v>701</v>
      </c>
      <c r="C39" s="1" t="s">
        <v>8</v>
      </c>
      <c r="D39" s="3">
        <v>278</v>
      </c>
      <c r="E39" t="s">
        <v>4</v>
      </c>
      <c r="F39">
        <v>1</v>
      </c>
      <c r="G39">
        <f t="shared" si="1"/>
        <v>278</v>
      </c>
      <c r="H39">
        <f t="shared" si="8"/>
        <v>3</v>
      </c>
      <c r="I39">
        <f t="shared" si="9"/>
        <v>0</v>
      </c>
      <c r="J39" t="str">
        <f t="shared" si="4"/>
        <v>701=1</v>
      </c>
      <c r="K39" t="str">
        <v>1202=F</v>
      </c>
      <c r="L39">
        <v>37</v>
      </c>
      <c r="N39" t="str">
        <f t="shared" si="5"/>
        <v>{label:'Rincian 1202=F' , value:37},</v>
      </c>
      <c r="R39" t="str">
        <f t="shared" si="6"/>
        <v>{idk:11, rincian:'Rincian 278', kondisi: '&gt;0', fatal:1},</v>
      </c>
    </row>
    <row r="40" spans="1:18" x14ac:dyDescent="0.25">
      <c r="A40">
        <f t="shared" si="7"/>
        <v>11</v>
      </c>
      <c r="B40" s="3">
        <v>701</v>
      </c>
      <c r="C40" s="1" t="s">
        <v>8</v>
      </c>
      <c r="D40" s="3" t="s">
        <v>14</v>
      </c>
      <c r="E40" t="s">
        <v>4</v>
      </c>
      <c r="F40">
        <v>2</v>
      </c>
      <c r="G40">
        <v>999</v>
      </c>
      <c r="H40">
        <f t="shared" si="8"/>
        <v>10</v>
      </c>
      <c r="I40">
        <f t="shared" si="9"/>
        <v>1</v>
      </c>
      <c r="J40" t="str">
        <f t="shared" si="4"/>
        <v>701=1</v>
      </c>
      <c r="K40" t="str">
        <v>1202=G</v>
      </c>
      <c r="L40">
        <v>38</v>
      </c>
      <c r="N40" t="str">
        <f t="shared" si="5"/>
        <v>{label:'Rincian 1202=G' , value:38},</v>
      </c>
      <c r="R40" t="str">
        <f t="shared" si="6"/>
        <v>{idk:11, rincian:'Rincian VD 4 kol 2', kondisi: '&gt;0', fatal:2},</v>
      </c>
    </row>
    <row r="41" spans="1:18" x14ac:dyDescent="0.25">
      <c r="A41">
        <f t="shared" si="7"/>
        <v>12</v>
      </c>
      <c r="B41" s="3">
        <v>706</v>
      </c>
      <c r="C41" t="s">
        <v>10</v>
      </c>
      <c r="D41" s="3" t="s">
        <v>13</v>
      </c>
      <c r="E41" t="s">
        <v>26</v>
      </c>
      <c r="F41">
        <v>1</v>
      </c>
      <c r="G41">
        <v>999</v>
      </c>
      <c r="H41">
        <f t="shared" si="8"/>
        <v>2</v>
      </c>
      <c r="I41">
        <f t="shared" si="9"/>
        <v>1</v>
      </c>
      <c r="J41" t="str">
        <f t="shared" si="4"/>
        <v>706=1,2,3</v>
      </c>
      <c r="K41" t="str">
        <v>1205=1,2</v>
      </c>
      <c r="L41">
        <v>39</v>
      </c>
      <c r="N41" t="str">
        <f t="shared" si="5"/>
        <v>{label:'Rincian 1205=1,2' , value:39},</v>
      </c>
      <c r="R41" t="str">
        <f t="shared" si="6"/>
        <v>{idk:12, rincian:'Rincian VB', kondisi: '&gt;0 (Nama Bersesuaian)', fatal:1},</v>
      </c>
    </row>
    <row r="42" spans="1:18" x14ac:dyDescent="0.25">
      <c r="A42">
        <f t="shared" si="7"/>
        <v>13</v>
      </c>
      <c r="B42" s="3">
        <v>706</v>
      </c>
      <c r="C42" s="1" t="s">
        <v>12</v>
      </c>
      <c r="D42" s="3" t="s">
        <v>11</v>
      </c>
      <c r="E42" t="s">
        <v>26</v>
      </c>
      <c r="F42">
        <v>1</v>
      </c>
      <c r="G42">
        <v>999</v>
      </c>
      <c r="H42">
        <f t="shared" si="8"/>
        <v>2</v>
      </c>
      <c r="I42">
        <f t="shared" si="9"/>
        <v>1</v>
      </c>
      <c r="J42" t="str">
        <f t="shared" si="4"/>
        <v>706=4,5</v>
      </c>
      <c r="K42" t="str">
        <v>1206=1,2</v>
      </c>
      <c r="L42">
        <v>40</v>
      </c>
      <c r="N42" t="str">
        <f t="shared" si="5"/>
        <v>{label:'Rincian 1206=1,2' , value:40},</v>
      </c>
      <c r="R42" t="str">
        <f t="shared" si="6"/>
        <v>{idk:13, rincian:'Rincian VA', kondisi: '&gt;0 (Nama Bersesuaian)', fatal:1},</v>
      </c>
    </row>
    <row r="43" spans="1:18" x14ac:dyDescent="0.25">
      <c r="A43">
        <f t="shared" si="7"/>
        <v>14</v>
      </c>
      <c r="B43" s="3">
        <v>709</v>
      </c>
      <c r="C43" s="1" t="s">
        <v>8</v>
      </c>
      <c r="D43" s="3" t="s">
        <v>9</v>
      </c>
      <c r="E43" t="s">
        <v>4</v>
      </c>
      <c r="F43">
        <v>2</v>
      </c>
      <c r="G43">
        <v>999</v>
      </c>
      <c r="H43">
        <f t="shared" si="8"/>
        <v>11</v>
      </c>
      <c r="I43">
        <f t="shared" si="9"/>
        <v>1</v>
      </c>
      <c r="J43" t="str">
        <f t="shared" si="4"/>
        <v>709=1</v>
      </c>
      <c r="K43" t="str">
        <v>1303=B</v>
      </c>
      <c r="L43">
        <v>41</v>
      </c>
      <c r="N43" t="str">
        <f t="shared" si="5"/>
        <v>{label:'Rincian 1303=B' , value:41},</v>
      </c>
      <c r="R43" t="str">
        <f t="shared" si="6"/>
        <v>{idk:14, rincian:'Rincian VE 1b kol 2', kondisi: '&gt;0', fatal:2},</v>
      </c>
    </row>
    <row r="44" spans="1:18" x14ac:dyDescent="0.25">
      <c r="A44">
        <f t="shared" si="7"/>
        <v>14</v>
      </c>
      <c r="B44" s="3">
        <v>709</v>
      </c>
      <c r="C44" s="1" t="s">
        <v>8</v>
      </c>
      <c r="D44" s="3" t="s">
        <v>15</v>
      </c>
      <c r="E44" t="s">
        <v>4</v>
      </c>
      <c r="F44">
        <v>2</v>
      </c>
      <c r="G44">
        <v>999</v>
      </c>
      <c r="H44">
        <f t="shared" si="8"/>
        <v>11</v>
      </c>
      <c r="I44">
        <f t="shared" si="9"/>
        <v>1</v>
      </c>
      <c r="J44" t="str">
        <f t="shared" si="4"/>
        <v>709=1</v>
      </c>
      <c r="K44" t="str">
        <v>1404 Tanggal &lt; 1 tahun lalu</v>
      </c>
      <c r="L44">
        <v>42</v>
      </c>
      <c r="N44" t="str">
        <f t="shared" si="5"/>
        <v>{label:'Rincian 1404 Tanggal &lt; 1 tahun lalu' , value:42},</v>
      </c>
      <c r="R44" t="str">
        <f t="shared" si="6"/>
        <v>{idk:14, rincian:'Rincian VE 1b kol 3', kondisi: '&gt;0', fatal:2},</v>
      </c>
    </row>
    <row r="45" spans="1:18" x14ac:dyDescent="0.25">
      <c r="A45">
        <f t="shared" si="7"/>
        <v>15</v>
      </c>
      <c r="B45" s="3">
        <v>801</v>
      </c>
      <c r="C45" s="1" t="s">
        <v>8</v>
      </c>
      <c r="D45" s="3" t="s">
        <v>108</v>
      </c>
      <c r="E45" t="s">
        <v>4</v>
      </c>
      <c r="F45">
        <v>1</v>
      </c>
      <c r="G45">
        <v>236</v>
      </c>
      <c r="H45">
        <f t="shared" si="8"/>
        <v>11</v>
      </c>
      <c r="I45">
        <f t="shared" si="9"/>
        <v>0</v>
      </c>
      <c r="J45" t="str">
        <f t="shared" si="4"/>
        <v>801=1</v>
      </c>
      <c r="K45" t="str">
        <v>1406= 1 dan usia &lt; 21 bulan</v>
      </c>
      <c r="L45">
        <v>43</v>
      </c>
      <c r="N45" t="str">
        <f t="shared" si="5"/>
        <v>{label:'Rincian 1406= 1 dan usia &lt; 21 bulan' , value:43},</v>
      </c>
      <c r="R45" t="str">
        <f t="shared" si="6"/>
        <v>{idk:15, rincian:'Rincian 236+238+239', kondisi: '&gt;0', fatal:1},</v>
      </c>
    </row>
    <row r="46" spans="1:18" x14ac:dyDescent="0.25">
      <c r="A46">
        <f t="shared" si="7"/>
        <v>16</v>
      </c>
      <c r="B46" s="3">
        <v>802</v>
      </c>
      <c r="C46" s="1" t="s">
        <v>8</v>
      </c>
      <c r="D46" s="3">
        <v>297</v>
      </c>
      <c r="E46" t="s">
        <v>4</v>
      </c>
      <c r="F46">
        <v>2</v>
      </c>
      <c r="G46">
        <f t="shared" si="1"/>
        <v>297</v>
      </c>
      <c r="H46">
        <f t="shared" si="8"/>
        <v>3</v>
      </c>
      <c r="I46">
        <f t="shared" si="9"/>
        <v>0</v>
      </c>
      <c r="J46" t="str">
        <f t="shared" si="4"/>
        <v>802=1</v>
      </c>
      <c r="K46" t="str">
        <v>1504A=1 dan umur anak &lt; 1 tahun</v>
      </c>
      <c r="L46">
        <v>44</v>
      </c>
      <c r="N46" t="str">
        <f t="shared" si="5"/>
        <v>{label:'Rincian 1504A=1 dan umur anak &lt; 1 tahun' , value:44},</v>
      </c>
      <c r="R46" t="str">
        <f t="shared" si="6"/>
        <v>{idk:16, rincian:'Rincian 297', kondisi: '&gt;0', fatal:2},</v>
      </c>
    </row>
    <row r="47" spans="1:18" x14ac:dyDescent="0.25">
      <c r="A47">
        <f t="shared" si="7"/>
        <v>16</v>
      </c>
      <c r="B47" s="3">
        <v>802</v>
      </c>
      <c r="C47" s="1" t="s">
        <v>8</v>
      </c>
      <c r="D47" s="3" t="s">
        <v>108</v>
      </c>
      <c r="E47" t="s">
        <v>4</v>
      </c>
      <c r="F47">
        <v>1</v>
      </c>
      <c r="G47">
        <v>236</v>
      </c>
      <c r="H47">
        <f t="shared" si="8"/>
        <v>11</v>
      </c>
      <c r="I47">
        <f t="shared" si="9"/>
        <v>0</v>
      </c>
      <c r="J47" t="str">
        <f t="shared" si="4"/>
        <v>802=1</v>
      </c>
      <c r="K47" t="str">
        <v>1504A=2 dan umur anak &lt; 1 tahun</v>
      </c>
      <c r="L47">
        <v>45</v>
      </c>
      <c r="N47" t="str">
        <f t="shared" si="5"/>
        <v>{label:'Rincian 1504A=2 dan umur anak &lt; 1 tahun' , value:45},</v>
      </c>
      <c r="R47" t="str">
        <f t="shared" si="6"/>
        <v>{idk:16, rincian:'Rincian 236+238+239', kondisi: '&gt;0', fatal:1},</v>
      </c>
    </row>
    <row r="48" spans="1:18" x14ac:dyDescent="0.25">
      <c r="A48">
        <f t="shared" si="7"/>
        <v>17</v>
      </c>
      <c r="B48" s="3" t="s">
        <v>109</v>
      </c>
      <c r="C48" s="1" t="s">
        <v>4</v>
      </c>
      <c r="D48" s="3" t="s">
        <v>108</v>
      </c>
      <c r="E48" t="s">
        <v>4</v>
      </c>
      <c r="F48">
        <v>1</v>
      </c>
      <c r="G48">
        <v>236</v>
      </c>
      <c r="H48">
        <f t="shared" si="8"/>
        <v>11</v>
      </c>
      <c r="I48">
        <f t="shared" si="9"/>
        <v>0</v>
      </c>
      <c r="J48" t="str">
        <f t="shared" si="4"/>
        <v>803+804+805+806&gt;0</v>
      </c>
      <c r="K48" t="str">
        <v>1504A=3,4,6 dan umur anak &lt; 1 tahun</v>
      </c>
      <c r="L48">
        <v>46</v>
      </c>
      <c r="N48" t="str">
        <f t="shared" si="5"/>
        <v>{label:'Rincian 1504A=3,4,6 dan umur anak &lt; 1 tahun' , value:46},</v>
      </c>
      <c r="R48" t="str">
        <f t="shared" si="6"/>
        <v>{idk:17, rincian:'Rincian 236+238+239', kondisi: '&gt;0', fatal:1},</v>
      </c>
    </row>
    <row r="49" spans="1:18" x14ac:dyDescent="0.25">
      <c r="A49">
        <f t="shared" si="7"/>
        <v>18</v>
      </c>
      <c r="B49" s="3">
        <v>808</v>
      </c>
      <c r="C49" s="1" t="s">
        <v>8</v>
      </c>
      <c r="D49" s="3">
        <v>238</v>
      </c>
      <c r="E49" t="s">
        <v>4</v>
      </c>
      <c r="F49">
        <v>1</v>
      </c>
      <c r="G49">
        <f t="shared" si="1"/>
        <v>238</v>
      </c>
      <c r="H49">
        <f t="shared" si="8"/>
        <v>3</v>
      </c>
      <c r="I49">
        <f t="shared" si="9"/>
        <v>0</v>
      </c>
      <c r="J49" t="str">
        <f t="shared" si="4"/>
        <v>808=1</v>
      </c>
      <c r="K49" t="str">
        <v>1504A=5 dan umur anak &lt; 1 tahun</v>
      </c>
      <c r="L49">
        <v>47</v>
      </c>
      <c r="N49" t="str">
        <f t="shared" si="5"/>
        <v>{label:'Rincian 1504A=5 dan umur anak &lt; 1 tahun' , value:47},</v>
      </c>
      <c r="R49" t="str">
        <f t="shared" si="6"/>
        <v>{idk:18, rincian:'Rincian 238', kondisi: '&gt;0', fatal:1},</v>
      </c>
    </row>
    <row r="50" spans="1:18" x14ac:dyDescent="0.25">
      <c r="A50">
        <f t="shared" si="7"/>
        <v>19</v>
      </c>
      <c r="B50" s="3">
        <v>811</v>
      </c>
      <c r="C50" s="1" t="s">
        <v>47</v>
      </c>
      <c r="D50" s="3">
        <v>239</v>
      </c>
      <c r="E50" t="s">
        <v>4</v>
      </c>
      <c r="F50">
        <v>2</v>
      </c>
      <c r="G50">
        <f t="shared" si="1"/>
        <v>239</v>
      </c>
      <c r="H50">
        <f t="shared" si="8"/>
        <v>3</v>
      </c>
      <c r="I50">
        <f t="shared" si="9"/>
        <v>0</v>
      </c>
      <c r="J50" t="str">
        <f t="shared" si="4"/>
        <v>811=E,F</v>
      </c>
      <c r="K50" t="str">
        <v>1504B=5 dan umur anak &lt; 1 tahun</v>
      </c>
      <c r="L50">
        <v>48</v>
      </c>
      <c r="N50" t="str">
        <f t="shared" si="5"/>
        <v>{label:'Rincian 1504B=5 dan umur anak &lt; 1 tahun' , value:48},</v>
      </c>
      <c r="R50" t="str">
        <f t="shared" si="6"/>
        <v>{idk:19, rincian:'Rincian 239', kondisi: '&gt;0', fatal:2},</v>
      </c>
    </row>
    <row r="51" spans="1:18" x14ac:dyDescent="0.25">
      <c r="A51">
        <f t="shared" si="7"/>
        <v>20</v>
      </c>
      <c r="B51" s="3">
        <v>903</v>
      </c>
      <c r="C51" s="1" t="s">
        <v>4</v>
      </c>
      <c r="D51" s="3" t="s">
        <v>83</v>
      </c>
      <c r="E51" t="s">
        <v>4</v>
      </c>
      <c r="F51">
        <v>1</v>
      </c>
      <c r="G51">
        <v>271</v>
      </c>
      <c r="H51">
        <f t="shared" si="8"/>
        <v>19</v>
      </c>
      <c r="I51">
        <f t="shared" si="9"/>
        <v>0</v>
      </c>
      <c r="J51" t="str">
        <f t="shared" si="4"/>
        <v>903&gt;0</v>
      </c>
      <c r="K51" t="str">
        <v>1602=4,6,7,8</v>
      </c>
      <c r="L51">
        <v>49</v>
      </c>
      <c r="N51" t="str">
        <f t="shared" si="5"/>
        <v>{label:'Rincian 1602=4,6,7,8' , value:49},</v>
      </c>
      <c r="R51" t="str">
        <f t="shared" si="6"/>
        <v>{idk:20, rincian:'Rincian 271+272+273+274+275', kondisi: '&gt;0', fatal:1},</v>
      </c>
    </row>
    <row r="52" spans="1:18" x14ac:dyDescent="0.25">
      <c r="A52">
        <f t="shared" si="7"/>
        <v>21</v>
      </c>
      <c r="B52" s="3">
        <v>1101</v>
      </c>
      <c r="C52" s="1" t="s">
        <v>16</v>
      </c>
      <c r="D52" s="3" t="s">
        <v>15</v>
      </c>
      <c r="E52" t="s">
        <v>4</v>
      </c>
      <c r="F52">
        <v>1</v>
      </c>
      <c r="G52">
        <v>999</v>
      </c>
      <c r="H52">
        <f t="shared" si="8"/>
        <v>11</v>
      </c>
      <c r="I52">
        <f t="shared" si="9"/>
        <v>1</v>
      </c>
      <c r="J52" t="str">
        <f t="shared" si="4"/>
        <v>1101=A</v>
      </c>
      <c r="K52" t="str">
        <v>1606=1</v>
      </c>
      <c r="L52">
        <v>50</v>
      </c>
      <c r="N52" t="str">
        <f t="shared" si="5"/>
        <v>{label:'Rincian 1606=1' , value:50},</v>
      </c>
      <c r="R52" t="str">
        <f t="shared" si="6"/>
        <v>{idk:21, rincian:'Rincian VE 1b kol 3', kondisi: '&gt;0', fatal:1},</v>
      </c>
    </row>
    <row r="53" spans="1:18" x14ac:dyDescent="0.25">
      <c r="A53">
        <f t="shared" si="7"/>
        <v>22</v>
      </c>
      <c r="B53" s="3">
        <v>1101</v>
      </c>
      <c r="C53" s="1" t="s">
        <v>17</v>
      </c>
      <c r="D53" s="3">
        <v>311</v>
      </c>
      <c r="E53" t="s">
        <v>4</v>
      </c>
      <c r="F53">
        <v>1</v>
      </c>
      <c r="G53">
        <f t="shared" si="1"/>
        <v>311</v>
      </c>
      <c r="H53">
        <f t="shared" si="8"/>
        <v>3</v>
      </c>
      <c r="I53">
        <f t="shared" si="9"/>
        <v>0</v>
      </c>
      <c r="J53" t="str">
        <f t="shared" si="4"/>
        <v>1101=A,B,C,D</v>
      </c>
      <c r="K53" t="str">
        <v>1802=1</v>
      </c>
      <c r="L53">
        <v>51</v>
      </c>
      <c r="N53" t="str">
        <f t="shared" si="5"/>
        <v>{label:'Rincian 1802=1' , value:51},</v>
      </c>
      <c r="R53" t="str">
        <f t="shared" si="6"/>
        <v>{idk:22, rincian:'Rincian 311', kondisi: '&gt;0', fatal:1},</v>
      </c>
    </row>
    <row r="54" spans="1:18" x14ac:dyDescent="0.25">
      <c r="A54">
        <f t="shared" si="7"/>
        <v>23</v>
      </c>
      <c r="B54" s="3">
        <v>1104</v>
      </c>
      <c r="C54" s="1" t="s">
        <v>8</v>
      </c>
      <c r="D54" s="3" t="s">
        <v>82</v>
      </c>
      <c r="E54" t="s">
        <v>4</v>
      </c>
      <c r="F54">
        <v>1</v>
      </c>
      <c r="G54">
        <v>255</v>
      </c>
      <c r="H54">
        <f t="shared" si="8"/>
        <v>15</v>
      </c>
      <c r="I54">
        <f t="shared" si="9"/>
        <v>0</v>
      </c>
      <c r="J54" t="str">
        <f t="shared" si="4"/>
        <v>1104=1</v>
      </c>
      <c r="K54" t="str">
        <v>1802=2</v>
      </c>
      <c r="L54">
        <v>52</v>
      </c>
      <c r="N54" t="str">
        <f t="shared" si="5"/>
        <v>{label:'Rincian 1802=2' , value:52},</v>
      </c>
      <c r="R54" t="str">
        <f t="shared" si="6"/>
        <v>{idk:23, rincian:'Rincian 255+256+257+258', kondisi: '&gt;0', fatal:1},</v>
      </c>
    </row>
    <row r="55" spans="1:18" x14ac:dyDescent="0.25">
      <c r="A55">
        <f t="shared" si="7"/>
        <v>24</v>
      </c>
      <c r="B55" s="3">
        <v>1107</v>
      </c>
      <c r="C55" s="1" t="s">
        <v>16</v>
      </c>
      <c r="D55" s="3">
        <v>248</v>
      </c>
      <c r="E55" t="s">
        <v>4</v>
      </c>
      <c r="F55">
        <v>1</v>
      </c>
      <c r="G55">
        <f t="shared" si="1"/>
        <v>248</v>
      </c>
      <c r="H55">
        <f t="shared" si="8"/>
        <v>3</v>
      </c>
      <c r="I55">
        <f t="shared" si="9"/>
        <v>0</v>
      </c>
      <c r="J55" t="str">
        <f t="shared" si="4"/>
        <v>1107=A</v>
      </c>
      <c r="K55" t="str">
        <v>1802=3</v>
      </c>
      <c r="L55">
        <v>53</v>
      </c>
      <c r="N55" t="str">
        <f t="shared" si="5"/>
        <v>{label:'Rincian 1802=3' , value:53},</v>
      </c>
      <c r="R55" t="str">
        <f t="shared" si="6"/>
        <v>{idk:24, rincian:'Rincian 248', kondisi: '&gt;0', fatal:1},</v>
      </c>
    </row>
    <row r="56" spans="1:18" x14ac:dyDescent="0.25">
      <c r="A56">
        <f t="shared" si="7"/>
        <v>25</v>
      </c>
      <c r="B56" s="3">
        <v>1107</v>
      </c>
      <c r="C56" s="1" t="s">
        <v>18</v>
      </c>
      <c r="D56" s="3">
        <v>249</v>
      </c>
      <c r="E56" t="s">
        <v>4</v>
      </c>
      <c r="F56">
        <v>1</v>
      </c>
      <c r="G56">
        <f t="shared" si="1"/>
        <v>249</v>
      </c>
      <c r="H56">
        <f t="shared" si="8"/>
        <v>3</v>
      </c>
      <c r="I56">
        <f t="shared" si="9"/>
        <v>0</v>
      </c>
      <c r="J56" t="str">
        <f t="shared" si="4"/>
        <v>1107=B</v>
      </c>
      <c r="K56" t="str">
        <v>1802=4</v>
      </c>
      <c r="L56">
        <v>54</v>
      </c>
      <c r="N56" t="str">
        <f t="shared" si="5"/>
        <v>{label:'Rincian 1802=4' , value:54},</v>
      </c>
      <c r="R56" t="str">
        <f t="shared" si="6"/>
        <v>{idk:25, rincian:'Rincian 249', kondisi: '&gt;0', fatal:1},</v>
      </c>
    </row>
    <row r="57" spans="1:18" x14ac:dyDescent="0.25">
      <c r="A57">
        <f t="shared" si="7"/>
        <v>26</v>
      </c>
      <c r="B57" s="3">
        <v>1107</v>
      </c>
      <c r="C57" s="1" t="s">
        <v>19</v>
      </c>
      <c r="D57" s="3" t="s">
        <v>24</v>
      </c>
      <c r="E57" t="s">
        <v>4</v>
      </c>
      <c r="F57">
        <v>1</v>
      </c>
      <c r="G57">
        <v>252</v>
      </c>
      <c r="H57">
        <f t="shared" si="8"/>
        <v>7</v>
      </c>
      <c r="I57">
        <f t="shared" si="9"/>
        <v>0</v>
      </c>
      <c r="J57" t="str">
        <f t="shared" si="4"/>
        <v>1107=C</v>
      </c>
      <c r="K57" t="str">
        <v>1802=5</v>
      </c>
      <c r="L57">
        <v>55</v>
      </c>
      <c r="N57" t="str">
        <f t="shared" si="5"/>
        <v>{label:'Rincian 1802=5' , value:55},</v>
      </c>
      <c r="R57" t="str">
        <f t="shared" si="6"/>
        <v>{idk:26, rincian:'Rincian 251+252', kondisi: '&gt;0', fatal:1},</v>
      </c>
    </row>
    <row r="58" spans="1:18" x14ac:dyDescent="0.25">
      <c r="A58">
        <f t="shared" si="7"/>
        <v>27</v>
      </c>
      <c r="B58" s="3">
        <v>1107</v>
      </c>
      <c r="C58" s="1" t="s">
        <v>20</v>
      </c>
      <c r="D58" s="3">
        <v>251</v>
      </c>
      <c r="E58" t="s">
        <v>4</v>
      </c>
      <c r="F58">
        <v>1</v>
      </c>
      <c r="G58">
        <f t="shared" si="1"/>
        <v>251</v>
      </c>
      <c r="H58">
        <f t="shared" si="8"/>
        <v>3</v>
      </c>
      <c r="I58">
        <f t="shared" si="9"/>
        <v>0</v>
      </c>
      <c r="J58" t="str">
        <f t="shared" si="4"/>
        <v>1107=D</v>
      </c>
      <c r="K58" t="str">
        <v>1809D=00</v>
      </c>
      <c r="L58">
        <v>56</v>
      </c>
      <c r="N58" t="str">
        <f t="shared" si="5"/>
        <v>{label:'Rincian 1809D=00' , value:56},</v>
      </c>
      <c r="R58" t="str">
        <f t="shared" si="6"/>
        <v>{idk:27, rincian:'Rincian 251', kondisi: '&gt;0', fatal:1},</v>
      </c>
    </row>
    <row r="59" spans="1:18" x14ac:dyDescent="0.25">
      <c r="A59">
        <f t="shared" si="7"/>
        <v>28</v>
      </c>
      <c r="B59" s="3">
        <v>1107</v>
      </c>
      <c r="C59" s="1" t="s">
        <v>21</v>
      </c>
      <c r="D59" s="3">
        <v>250</v>
      </c>
      <c r="E59" t="s">
        <v>4</v>
      </c>
      <c r="F59">
        <v>1</v>
      </c>
      <c r="G59">
        <f t="shared" si="1"/>
        <v>250</v>
      </c>
      <c r="H59">
        <f t="shared" si="8"/>
        <v>3</v>
      </c>
      <c r="I59">
        <f t="shared" si="9"/>
        <v>0</v>
      </c>
      <c r="J59" t="str">
        <f t="shared" si="4"/>
        <v>1107=E</v>
      </c>
      <c r="K59" t="str">
        <v>1810A=1</v>
      </c>
      <c r="L59">
        <v>57</v>
      </c>
      <c r="N59" t="str">
        <f t="shared" si="5"/>
        <v>{label:'Rincian 1810A=1' , value:57},</v>
      </c>
      <c r="R59" t="str">
        <f t="shared" si="6"/>
        <v>{idk:28, rincian:'Rincian 250', kondisi: '&gt;0', fatal:1},</v>
      </c>
    </row>
    <row r="60" spans="1:18" x14ac:dyDescent="0.25">
      <c r="A60">
        <f t="shared" si="7"/>
        <v>29</v>
      </c>
      <c r="B60" s="3">
        <v>1107</v>
      </c>
      <c r="C60" s="1" t="s">
        <v>22</v>
      </c>
      <c r="D60" s="3">
        <v>250</v>
      </c>
      <c r="E60" t="s">
        <v>4</v>
      </c>
      <c r="F60">
        <v>1</v>
      </c>
      <c r="G60">
        <f t="shared" si="1"/>
        <v>250</v>
      </c>
      <c r="H60">
        <f t="shared" si="8"/>
        <v>3</v>
      </c>
      <c r="I60">
        <f t="shared" si="9"/>
        <v>0</v>
      </c>
      <c r="J60" t="str">
        <f t="shared" si="4"/>
        <v>1107=F</v>
      </c>
      <c r="K60" t="str">
        <v>1810A=2</v>
      </c>
      <c r="L60">
        <v>58</v>
      </c>
      <c r="N60" t="str">
        <f t="shared" si="5"/>
        <v>{label:'Rincian 1810A=2' , value:58},</v>
      </c>
      <c r="R60" t="str">
        <f t="shared" si="6"/>
        <v>{idk:29, rincian:'Rincian 250', kondisi: '&gt;0', fatal:1},</v>
      </c>
    </row>
    <row r="61" spans="1:18" x14ac:dyDescent="0.25">
      <c r="A61">
        <f t="shared" si="7"/>
        <v>30</v>
      </c>
      <c r="B61" s="3">
        <v>1107</v>
      </c>
      <c r="C61" s="1" t="s">
        <v>23</v>
      </c>
      <c r="D61" s="3">
        <v>253</v>
      </c>
      <c r="E61" t="s">
        <v>4</v>
      </c>
      <c r="F61">
        <v>1</v>
      </c>
      <c r="G61">
        <f t="shared" si="1"/>
        <v>253</v>
      </c>
      <c r="H61">
        <f t="shared" si="8"/>
        <v>3</v>
      </c>
      <c r="I61">
        <f t="shared" si="9"/>
        <v>0</v>
      </c>
      <c r="J61" t="str">
        <f t="shared" si="4"/>
        <v>1107=G</v>
      </c>
      <c r="K61" t="str">
        <v>1814A=1</v>
      </c>
      <c r="L61">
        <v>59</v>
      </c>
      <c r="N61" t="str">
        <f t="shared" si="5"/>
        <v>{label:'Rincian 1814A=1' , value:59},</v>
      </c>
      <c r="R61" t="str">
        <f t="shared" si="6"/>
        <v>{idk:30, rincian:'Rincian 253', kondisi: '&gt;0', fatal:1},</v>
      </c>
    </row>
    <row r="62" spans="1:18" x14ac:dyDescent="0.25">
      <c r="A62">
        <f t="shared" si="7"/>
        <v>31</v>
      </c>
      <c r="B62" s="3">
        <v>1107</v>
      </c>
      <c r="C62" s="1" t="s">
        <v>25</v>
      </c>
      <c r="D62" s="3">
        <v>252</v>
      </c>
      <c r="E62" t="s">
        <v>4</v>
      </c>
      <c r="F62">
        <v>1</v>
      </c>
      <c r="G62">
        <f t="shared" si="1"/>
        <v>252</v>
      </c>
      <c r="H62">
        <f t="shared" si="8"/>
        <v>3</v>
      </c>
      <c r="I62">
        <f t="shared" si="9"/>
        <v>0</v>
      </c>
      <c r="J62" t="str">
        <f t="shared" si="4"/>
        <v>1107=H</v>
      </c>
      <c r="K62" t="str">
        <v>1814A=2</v>
      </c>
      <c r="L62">
        <v>60</v>
      </c>
      <c r="N62" t="str">
        <f t="shared" si="5"/>
        <v>{label:'Rincian 1814A=2' , value:60},</v>
      </c>
      <c r="R62" t="str">
        <f t="shared" si="6"/>
        <v>{idk:31, rincian:'Rincian 252', kondisi: '&gt;0', fatal:1},</v>
      </c>
    </row>
    <row r="63" spans="1:18" x14ac:dyDescent="0.25">
      <c r="A63">
        <f t="shared" si="7"/>
        <v>32</v>
      </c>
      <c r="B63" s="3">
        <v>1202</v>
      </c>
      <c r="C63" t="s">
        <v>16</v>
      </c>
      <c r="D63" s="3">
        <v>248</v>
      </c>
      <c r="E63" t="s">
        <v>4</v>
      </c>
      <c r="F63">
        <v>1</v>
      </c>
      <c r="G63">
        <f t="shared" si="1"/>
        <v>248</v>
      </c>
      <c r="H63">
        <f t="shared" si="8"/>
        <v>3</v>
      </c>
      <c r="I63">
        <f t="shared" si="9"/>
        <v>0</v>
      </c>
      <c r="J63" t="str">
        <f t="shared" si="4"/>
        <v>1202=A</v>
      </c>
      <c r="K63" t="str">
        <v>1816A=1,2</v>
      </c>
      <c r="L63">
        <v>61</v>
      </c>
      <c r="N63" t="str">
        <f t="shared" si="5"/>
        <v>{label:'Rincian 1816A=1,2' , value:61},</v>
      </c>
      <c r="R63" t="str">
        <f t="shared" si="6"/>
        <v>{idk:32, rincian:'Rincian 248', kondisi: '&gt;0', fatal:1},</v>
      </c>
    </row>
    <row r="64" spans="1:18" x14ac:dyDescent="0.25">
      <c r="A64">
        <f t="shared" si="7"/>
        <v>33</v>
      </c>
      <c r="B64" s="3">
        <v>1202</v>
      </c>
      <c r="C64" s="1" t="s">
        <v>18</v>
      </c>
      <c r="D64" s="3">
        <v>249</v>
      </c>
      <c r="E64" t="s">
        <v>4</v>
      </c>
      <c r="F64">
        <v>1</v>
      </c>
      <c r="G64">
        <f t="shared" si="1"/>
        <v>249</v>
      </c>
      <c r="H64">
        <f t="shared" si="8"/>
        <v>3</v>
      </c>
      <c r="I64">
        <f t="shared" si="9"/>
        <v>0</v>
      </c>
      <c r="J64" t="str">
        <f t="shared" si="4"/>
        <v>1202=B</v>
      </c>
      <c r="K64" t="str">
        <v>1817=1</v>
      </c>
      <c r="L64">
        <v>62</v>
      </c>
      <c r="N64" t="str">
        <f t="shared" si="5"/>
        <v>{label:'Rincian 1817=1' , value:62},</v>
      </c>
      <c r="R64" t="str">
        <f t="shared" si="6"/>
        <v>{idk:33, rincian:'Rincian 249', kondisi: '&gt;0', fatal:1},</v>
      </c>
    </row>
    <row r="65" spans="1:18" x14ac:dyDescent="0.25">
      <c r="A65">
        <f t="shared" si="7"/>
        <v>34</v>
      </c>
      <c r="B65" s="3">
        <v>1202</v>
      </c>
      <c r="C65" s="1" t="s">
        <v>19</v>
      </c>
      <c r="D65" s="3">
        <v>252</v>
      </c>
      <c r="E65" t="s">
        <v>4</v>
      </c>
      <c r="F65">
        <v>1</v>
      </c>
      <c r="G65">
        <f t="shared" si="1"/>
        <v>252</v>
      </c>
      <c r="H65">
        <f t="shared" si="8"/>
        <v>3</v>
      </c>
      <c r="I65">
        <f t="shared" si="9"/>
        <v>0</v>
      </c>
      <c r="J65" t="str">
        <f t="shared" si="4"/>
        <v>1202=C</v>
      </c>
      <c r="K65" t="str">
        <v>1817=2,3,4</v>
      </c>
      <c r="L65">
        <v>63</v>
      </c>
      <c r="N65" t="str">
        <f t="shared" si="5"/>
        <v>{label:'Rincian 1817=2,3,4' , value:63},</v>
      </c>
      <c r="R65" t="str">
        <f t="shared" si="6"/>
        <v>{idk:34, rincian:'Rincian 252', kondisi: '&gt;0', fatal:1},</v>
      </c>
    </row>
    <row r="66" spans="1:18" x14ac:dyDescent="0.25">
      <c r="A66">
        <f t="shared" si="7"/>
        <v>35</v>
      </c>
      <c r="B66" s="3">
        <v>1202</v>
      </c>
      <c r="C66" s="1" t="s">
        <v>20</v>
      </c>
      <c r="D66" s="3">
        <v>251</v>
      </c>
      <c r="E66" t="s">
        <v>4</v>
      </c>
      <c r="F66">
        <v>1</v>
      </c>
      <c r="G66">
        <f t="shared" si="1"/>
        <v>251</v>
      </c>
      <c r="H66">
        <f t="shared" si="8"/>
        <v>3</v>
      </c>
      <c r="I66">
        <f t="shared" si="9"/>
        <v>0</v>
      </c>
      <c r="J66" t="str">
        <f t="shared" si="4"/>
        <v>1202=D</v>
      </c>
      <c r="K66" t="str">
        <v>1817=6</v>
      </c>
      <c r="L66">
        <v>64</v>
      </c>
      <c r="N66" t="str">
        <f t="shared" si="5"/>
        <v>{label:'Rincian 1817=6' , value:64},</v>
      </c>
      <c r="R66" t="str">
        <f t="shared" si="6"/>
        <v>{idk:35, rincian:'Rincian 251', kondisi: '&gt;0', fatal:1},</v>
      </c>
    </row>
    <row r="67" spans="1:18" x14ac:dyDescent="0.25">
      <c r="A67">
        <f t="shared" ref="A67:A98" si="10">VLOOKUP(CONCATENATE(B67,C67),$K$2:$L$155,2,FALSE)</f>
        <v>36</v>
      </c>
      <c r="B67" s="3">
        <v>1202</v>
      </c>
      <c r="C67" s="1" t="s">
        <v>21</v>
      </c>
      <c r="D67" s="3">
        <v>250</v>
      </c>
      <c r="E67" t="s">
        <v>4</v>
      </c>
      <c r="F67">
        <v>1</v>
      </c>
      <c r="G67">
        <f t="shared" ref="G67:G130" si="11">IF(AND((H67&lt;=3),(I67=0)),D67,"")</f>
        <v>250</v>
      </c>
      <c r="H67">
        <f t="shared" ref="H67:H98" si="12">LEN(D67)</f>
        <v>3</v>
      </c>
      <c r="I67">
        <f t="shared" ref="I67:I98" si="13">IF(LEFT(D67,1)="V",1,0)</f>
        <v>0</v>
      </c>
      <c r="J67" t="str">
        <f t="shared" si="4"/>
        <v>1202=E</v>
      </c>
      <c r="K67" t="str">
        <v>1817=7</v>
      </c>
      <c r="L67">
        <v>65</v>
      </c>
      <c r="N67" t="str">
        <f t="shared" si="5"/>
        <v>{label:'Rincian 1817=7' , value:65},</v>
      </c>
      <c r="R67" t="str">
        <f t="shared" si="6"/>
        <v>{idk:36, rincian:'Rincian 250', kondisi: '&gt;0', fatal:1},</v>
      </c>
    </row>
    <row r="68" spans="1:18" x14ac:dyDescent="0.25">
      <c r="A68">
        <f t="shared" si="10"/>
        <v>37</v>
      </c>
      <c r="B68" s="3">
        <v>1202</v>
      </c>
      <c r="C68" s="1" t="s">
        <v>22</v>
      </c>
      <c r="D68" s="3">
        <v>253</v>
      </c>
      <c r="E68" t="s">
        <v>4</v>
      </c>
      <c r="F68">
        <v>1</v>
      </c>
      <c r="G68">
        <f t="shared" si="11"/>
        <v>253</v>
      </c>
      <c r="H68">
        <f t="shared" si="12"/>
        <v>3</v>
      </c>
      <c r="I68">
        <f t="shared" si="13"/>
        <v>0</v>
      </c>
      <c r="J68" t="str">
        <f t="shared" ref="J68:J131" si="14">CONCATENATE(B68,C68)</f>
        <v>1202=F</v>
      </c>
      <c r="K68" t="str">
        <v>1817=8,9</v>
      </c>
      <c r="L68">
        <v>66</v>
      </c>
      <c r="N68" t="str">
        <f t="shared" ref="N68:N99" si="15">CONCATENATE("{label:'Rincian ",K68,"' , value:",L68,"},")</f>
        <v>{label:'Rincian 1817=8,9' , value:66},</v>
      </c>
      <c r="R68" t="str">
        <f t="shared" ref="R68:R131" si="16">CONCATENATE("{idk:",A68,", rincian:'Rincian ",D68,"', kondisi: '",E68,"', fatal:",F68,"},")</f>
        <v>{idk:37, rincian:'Rincian 253', kondisi: '&gt;0', fatal:1},</v>
      </c>
    </row>
    <row r="69" spans="1:18" x14ac:dyDescent="0.25">
      <c r="A69">
        <f t="shared" si="10"/>
        <v>38</v>
      </c>
      <c r="B69" s="3">
        <v>1202</v>
      </c>
      <c r="C69" s="1" t="s">
        <v>23</v>
      </c>
      <c r="D69" s="3">
        <v>252</v>
      </c>
      <c r="E69" t="s">
        <v>4</v>
      </c>
      <c r="F69">
        <v>1</v>
      </c>
      <c r="G69">
        <f t="shared" si="11"/>
        <v>252</v>
      </c>
      <c r="H69">
        <f t="shared" si="12"/>
        <v>3</v>
      </c>
      <c r="I69">
        <f t="shared" si="13"/>
        <v>0</v>
      </c>
      <c r="J69" t="str">
        <f t="shared" si="14"/>
        <v>1202=G</v>
      </c>
      <c r="K69" t="str">
        <v>1817=10,11</v>
      </c>
      <c r="L69">
        <v>67</v>
      </c>
      <c r="N69" t="str">
        <f t="shared" si="15"/>
        <v>{label:'Rincian 1817=10,11' , value:67},</v>
      </c>
      <c r="R69" t="str">
        <f t="shared" si="16"/>
        <v>{idk:38, rincian:'Rincian 252', kondisi: '&gt;0', fatal:1},</v>
      </c>
    </row>
    <row r="70" spans="1:18" x14ac:dyDescent="0.25">
      <c r="A70">
        <f t="shared" si="10"/>
        <v>39</v>
      </c>
      <c r="B70" s="3">
        <v>1205</v>
      </c>
      <c r="C70" s="1" t="s">
        <v>6</v>
      </c>
      <c r="D70" s="3">
        <v>197</v>
      </c>
      <c r="E70" t="s">
        <v>26</v>
      </c>
      <c r="F70">
        <v>1</v>
      </c>
      <c r="G70">
        <f t="shared" si="11"/>
        <v>197</v>
      </c>
      <c r="H70">
        <f t="shared" si="12"/>
        <v>3</v>
      </c>
      <c r="I70">
        <f t="shared" si="13"/>
        <v>0</v>
      </c>
      <c r="J70" t="str">
        <f t="shared" si="14"/>
        <v>1205=1,2</v>
      </c>
      <c r="K70" t="str">
        <v>1817=5</v>
      </c>
      <c r="L70">
        <v>68</v>
      </c>
      <c r="N70" t="str">
        <f t="shared" si="15"/>
        <v>{label:'Rincian 1817=5' , value:68},</v>
      </c>
      <c r="R70" t="str">
        <f t="shared" si="16"/>
        <v>{idk:39, rincian:'Rincian 197', kondisi: '&gt;0 (Nama Bersesuaian)', fatal:1},</v>
      </c>
    </row>
    <row r="71" spans="1:18" x14ac:dyDescent="0.25">
      <c r="A71">
        <f t="shared" si="10"/>
        <v>40</v>
      </c>
      <c r="B71" s="3">
        <v>1206</v>
      </c>
      <c r="C71" s="1" t="s">
        <v>6</v>
      </c>
      <c r="D71" s="3" t="s">
        <v>27</v>
      </c>
      <c r="E71" t="s">
        <v>26</v>
      </c>
      <c r="F71">
        <v>1</v>
      </c>
      <c r="G71">
        <v>193</v>
      </c>
      <c r="H71">
        <f t="shared" si="12"/>
        <v>15</v>
      </c>
      <c r="I71">
        <f t="shared" si="13"/>
        <v>0</v>
      </c>
      <c r="J71" t="str">
        <f t="shared" si="14"/>
        <v>1206=1,2</v>
      </c>
      <c r="K71" t="str">
        <v>1901=1</v>
      </c>
      <c r="L71">
        <v>69</v>
      </c>
      <c r="N71" t="str">
        <f t="shared" si="15"/>
        <v>{label:'Rincian 1901=1' , value:69},</v>
      </c>
      <c r="R71" t="str">
        <f t="shared" si="16"/>
        <v>{idk:40, rincian:'Rincian 193+194+195+196', kondisi: '&gt;0 (Nama Bersesuaian)', fatal:1},</v>
      </c>
    </row>
    <row r="72" spans="1:18" x14ac:dyDescent="0.25">
      <c r="A72">
        <f t="shared" si="10"/>
        <v>41</v>
      </c>
      <c r="B72" s="3">
        <v>1303</v>
      </c>
      <c r="C72" t="s">
        <v>18</v>
      </c>
      <c r="D72" s="3" t="s">
        <v>82</v>
      </c>
      <c r="E72" t="s">
        <v>4</v>
      </c>
      <c r="F72">
        <v>1</v>
      </c>
      <c r="G72">
        <v>255</v>
      </c>
      <c r="H72">
        <f t="shared" si="12"/>
        <v>15</v>
      </c>
      <c r="I72">
        <f t="shared" si="13"/>
        <v>0</v>
      </c>
      <c r="J72" t="str">
        <f t="shared" si="14"/>
        <v>1303=B</v>
      </c>
      <c r="K72" t="str">
        <v>1901A=1</v>
      </c>
      <c r="L72">
        <v>70</v>
      </c>
      <c r="N72" t="str">
        <f t="shared" si="15"/>
        <v>{label:'Rincian 1901A=1' , value:70},</v>
      </c>
      <c r="R72" t="str">
        <f t="shared" si="16"/>
        <v>{idk:41, rincian:'Rincian 255+256+257+258', kondisi: '&gt;0', fatal:1},</v>
      </c>
    </row>
    <row r="73" spans="1:18" x14ac:dyDescent="0.25">
      <c r="A73">
        <f t="shared" si="10"/>
        <v>42</v>
      </c>
      <c r="B73" s="3">
        <v>1404</v>
      </c>
      <c r="C73" s="1" t="s">
        <v>91</v>
      </c>
      <c r="D73" s="3">
        <v>260</v>
      </c>
      <c r="E73" t="s">
        <v>4</v>
      </c>
      <c r="F73">
        <v>1</v>
      </c>
      <c r="G73">
        <f t="shared" si="11"/>
        <v>260</v>
      </c>
      <c r="H73">
        <f t="shared" si="12"/>
        <v>3</v>
      </c>
      <c r="I73">
        <f t="shared" si="13"/>
        <v>0</v>
      </c>
      <c r="J73" t="str">
        <f t="shared" si="14"/>
        <v>1404 Tanggal &lt; 1 tahun lalu</v>
      </c>
      <c r="K73" t="str">
        <v>1901B=1</v>
      </c>
      <c r="L73">
        <v>71</v>
      </c>
      <c r="N73" t="str">
        <f t="shared" si="15"/>
        <v>{label:'Rincian 1901B=1' , value:71},</v>
      </c>
      <c r="R73" t="str">
        <f t="shared" si="16"/>
        <v>{idk:42, rincian:'Rincian 260', kondisi: '&gt;0', fatal:1},</v>
      </c>
    </row>
    <row r="74" spans="1:18" x14ac:dyDescent="0.25">
      <c r="A74">
        <f t="shared" si="10"/>
        <v>43</v>
      </c>
      <c r="B74" s="3">
        <v>1406</v>
      </c>
      <c r="C74" t="s">
        <v>28</v>
      </c>
      <c r="D74" s="3">
        <v>260</v>
      </c>
      <c r="E74" t="s">
        <v>4</v>
      </c>
      <c r="F74">
        <v>1</v>
      </c>
      <c r="G74">
        <f t="shared" si="11"/>
        <v>260</v>
      </c>
      <c r="H74">
        <f t="shared" si="12"/>
        <v>3</v>
      </c>
      <c r="I74">
        <f t="shared" si="13"/>
        <v>0</v>
      </c>
      <c r="J74" t="str">
        <f t="shared" si="14"/>
        <v>1406= 1 dan usia &lt; 21 bulan</v>
      </c>
      <c r="K74" t="str">
        <v>1901C=1</v>
      </c>
      <c r="L74">
        <v>72</v>
      </c>
      <c r="N74" t="str">
        <f t="shared" si="15"/>
        <v>{label:'Rincian 1901C=1' , value:72},</v>
      </c>
      <c r="R74" t="str">
        <f t="shared" si="16"/>
        <v>{idk:43, rincian:'Rincian 260', kondisi: '&gt;0', fatal:1},</v>
      </c>
    </row>
    <row r="75" spans="1:18" x14ac:dyDescent="0.25">
      <c r="A75">
        <f t="shared" si="10"/>
        <v>44</v>
      </c>
      <c r="B75" s="3" t="s">
        <v>30</v>
      </c>
      <c r="C75" t="s">
        <v>32</v>
      </c>
      <c r="D75" s="3" t="s">
        <v>31</v>
      </c>
      <c r="E75" t="s">
        <v>4</v>
      </c>
      <c r="F75">
        <v>1</v>
      </c>
      <c r="G75">
        <v>248</v>
      </c>
      <c r="H75">
        <f t="shared" si="12"/>
        <v>7</v>
      </c>
      <c r="I75">
        <f t="shared" si="13"/>
        <v>0</v>
      </c>
      <c r="J75" t="str">
        <f t="shared" si="14"/>
        <v>1504A=1 dan umur anak &lt; 1 tahun</v>
      </c>
      <c r="K75" t="str">
        <v>1901E=1</v>
      </c>
      <c r="L75">
        <v>73</v>
      </c>
      <c r="N75" t="str">
        <f t="shared" si="15"/>
        <v>{label:'Rincian 1901E=1' , value:73},</v>
      </c>
      <c r="R75" t="str">
        <f t="shared" si="16"/>
        <v>{idk:44, rincian:'Rincian 248+249', kondisi: '&gt;0', fatal:1},</v>
      </c>
    </row>
    <row r="76" spans="1:18" x14ac:dyDescent="0.25">
      <c r="A76">
        <f t="shared" si="10"/>
        <v>45</v>
      </c>
      <c r="B76" s="3" t="s">
        <v>30</v>
      </c>
      <c r="C76" s="1" t="s">
        <v>33</v>
      </c>
      <c r="D76" s="3">
        <v>251</v>
      </c>
      <c r="E76" t="s">
        <v>4</v>
      </c>
      <c r="F76">
        <v>1</v>
      </c>
      <c r="G76">
        <f t="shared" si="11"/>
        <v>251</v>
      </c>
      <c r="H76">
        <f t="shared" si="12"/>
        <v>3</v>
      </c>
      <c r="I76">
        <f t="shared" si="13"/>
        <v>0</v>
      </c>
      <c r="J76" t="str">
        <f t="shared" si="14"/>
        <v>1504A=2 dan umur anak &lt; 1 tahun</v>
      </c>
      <c r="K76" t="str">
        <v>2001E=1</v>
      </c>
      <c r="L76">
        <v>74</v>
      </c>
      <c r="N76" t="str">
        <f t="shared" si="15"/>
        <v>{label:'Rincian 2001E=1' , value:74},</v>
      </c>
      <c r="R76" t="str">
        <f t="shared" si="16"/>
        <v>{idk:45, rincian:'Rincian 251', kondisi: '&gt;0', fatal:1},</v>
      </c>
    </row>
    <row r="77" spans="1:18" x14ac:dyDescent="0.25">
      <c r="A77">
        <f t="shared" si="10"/>
        <v>46</v>
      </c>
      <c r="B77" s="3" t="s">
        <v>30</v>
      </c>
      <c r="C77" t="s">
        <v>34</v>
      </c>
      <c r="D77" s="3">
        <v>250</v>
      </c>
      <c r="E77" t="s">
        <v>4</v>
      </c>
      <c r="F77">
        <v>1</v>
      </c>
      <c r="G77">
        <f t="shared" si="11"/>
        <v>250</v>
      </c>
      <c r="H77">
        <f t="shared" si="12"/>
        <v>3</v>
      </c>
      <c r="I77">
        <f t="shared" si="13"/>
        <v>0</v>
      </c>
      <c r="J77" t="str">
        <f t="shared" si="14"/>
        <v>1504A=3,4,6 dan umur anak &lt; 1 tahun</v>
      </c>
      <c r="K77" t="str">
        <v>2001H=1</v>
      </c>
      <c r="L77">
        <v>75</v>
      </c>
      <c r="N77" t="str">
        <f t="shared" si="15"/>
        <v>{label:'Rincian 2001H=1' , value:75},</v>
      </c>
      <c r="R77" t="str">
        <f t="shared" si="16"/>
        <v>{idk:46, rincian:'Rincian 250', kondisi: '&gt;0', fatal:1},</v>
      </c>
    </row>
    <row r="78" spans="1:18" x14ac:dyDescent="0.25">
      <c r="A78">
        <f t="shared" si="10"/>
        <v>47</v>
      </c>
      <c r="B78" s="3" t="s">
        <v>30</v>
      </c>
      <c r="C78" s="1" t="s">
        <v>35</v>
      </c>
      <c r="D78" s="3">
        <v>252</v>
      </c>
      <c r="E78" t="s">
        <v>4</v>
      </c>
      <c r="F78">
        <v>1</v>
      </c>
      <c r="G78">
        <f t="shared" si="11"/>
        <v>252</v>
      </c>
      <c r="H78">
        <f t="shared" si="12"/>
        <v>3</v>
      </c>
      <c r="I78">
        <f t="shared" si="13"/>
        <v>0</v>
      </c>
      <c r="J78" t="str">
        <f t="shared" si="14"/>
        <v>1504A=5 dan umur anak &lt; 1 tahun</v>
      </c>
      <c r="K78" t="str">
        <v>2001J=1</v>
      </c>
      <c r="L78">
        <v>76</v>
      </c>
      <c r="N78" t="str">
        <f t="shared" si="15"/>
        <v>{label:'Rincian 2001J=1' , value:76},</v>
      </c>
      <c r="R78" t="str">
        <f t="shared" si="16"/>
        <v>{idk:47, rincian:'Rincian 252', kondisi: '&gt;0', fatal:1},</v>
      </c>
    </row>
    <row r="79" spans="1:18" x14ac:dyDescent="0.25">
      <c r="A79">
        <f t="shared" si="10"/>
        <v>48</v>
      </c>
      <c r="B79" s="3" t="s">
        <v>36</v>
      </c>
      <c r="C79" t="s">
        <v>35</v>
      </c>
      <c r="D79" s="3">
        <v>254</v>
      </c>
      <c r="E79" t="s">
        <v>4</v>
      </c>
      <c r="F79">
        <v>1</v>
      </c>
      <c r="G79">
        <f t="shared" si="11"/>
        <v>254</v>
      </c>
      <c r="H79">
        <f t="shared" si="12"/>
        <v>3</v>
      </c>
      <c r="I79">
        <f t="shared" si="13"/>
        <v>0</v>
      </c>
      <c r="J79" t="str">
        <f t="shared" si="14"/>
        <v>1504B=5 dan umur anak &lt; 1 tahun</v>
      </c>
      <c r="K79" t="str">
        <v>2001K=1</v>
      </c>
      <c r="L79">
        <v>77</v>
      </c>
      <c r="N79" t="str">
        <f t="shared" si="15"/>
        <v>{label:'Rincian 2001K=1' , value:77},</v>
      </c>
      <c r="R79" t="str">
        <f t="shared" si="16"/>
        <v>{idk:48, rincian:'Rincian 254', kondisi: '&gt;0', fatal:1},</v>
      </c>
    </row>
    <row r="80" spans="1:18" x14ac:dyDescent="0.25">
      <c r="A80">
        <f t="shared" si="10"/>
        <v>49</v>
      </c>
      <c r="B80" s="3">
        <v>1602</v>
      </c>
      <c r="C80" t="s">
        <v>38</v>
      </c>
      <c r="D80" s="3">
        <v>263</v>
      </c>
      <c r="E80" t="s">
        <v>4</v>
      </c>
      <c r="F80">
        <v>1</v>
      </c>
      <c r="G80">
        <f t="shared" si="11"/>
        <v>263</v>
      </c>
      <c r="H80">
        <f t="shared" si="12"/>
        <v>3</v>
      </c>
      <c r="I80">
        <f t="shared" si="13"/>
        <v>0</v>
      </c>
      <c r="J80" t="str">
        <f t="shared" si="14"/>
        <v>1602=4,6,7,8</v>
      </c>
      <c r="K80" t="str">
        <v>2001M=1</v>
      </c>
      <c r="L80">
        <v>78</v>
      </c>
      <c r="N80" t="str">
        <f t="shared" si="15"/>
        <v>{label:'Rincian 2001M=1' , value:78},</v>
      </c>
      <c r="R80" t="str">
        <f t="shared" si="16"/>
        <v>{idk:49, rincian:'Rincian 263', kondisi: '&gt;0', fatal:1},</v>
      </c>
    </row>
    <row r="81" spans="1:18" x14ac:dyDescent="0.25">
      <c r="A81">
        <f t="shared" si="10"/>
        <v>50</v>
      </c>
      <c r="B81" s="3">
        <v>1606</v>
      </c>
      <c r="C81" s="1" t="s">
        <v>8</v>
      </c>
      <c r="D81" s="3">
        <v>259</v>
      </c>
      <c r="E81" t="s">
        <v>4</v>
      </c>
      <c r="F81">
        <v>1</v>
      </c>
      <c r="G81">
        <f t="shared" si="11"/>
        <v>259</v>
      </c>
      <c r="H81">
        <f t="shared" si="12"/>
        <v>3</v>
      </c>
      <c r="I81">
        <f t="shared" si="13"/>
        <v>0</v>
      </c>
      <c r="J81" t="str">
        <f t="shared" si="14"/>
        <v>1606=1</v>
      </c>
      <c r="K81" t="str">
        <v>2101A=2</v>
      </c>
      <c r="L81">
        <v>79</v>
      </c>
      <c r="N81" t="str">
        <f t="shared" si="15"/>
        <v>{label:'Rincian 2101A=2' , value:79},</v>
      </c>
      <c r="R81" t="str">
        <f t="shared" si="16"/>
        <v>{idk:50, rincian:'Rincian 259', kondisi: '&gt;0', fatal:1},</v>
      </c>
    </row>
    <row r="82" spans="1:18" x14ac:dyDescent="0.25">
      <c r="A82">
        <f t="shared" si="10"/>
        <v>50</v>
      </c>
      <c r="B82" s="3">
        <v>1606</v>
      </c>
      <c r="C82" t="s">
        <v>8</v>
      </c>
      <c r="D82" s="3">
        <v>264</v>
      </c>
      <c r="E82" t="s">
        <v>4</v>
      </c>
      <c r="F82">
        <v>1</v>
      </c>
      <c r="G82">
        <f t="shared" si="11"/>
        <v>264</v>
      </c>
      <c r="H82">
        <f t="shared" si="12"/>
        <v>3</v>
      </c>
      <c r="I82">
        <f t="shared" si="13"/>
        <v>0</v>
      </c>
      <c r="J82" t="str">
        <f t="shared" si="14"/>
        <v>1606=1</v>
      </c>
      <c r="K82" t="str">
        <v>2101A=3</v>
      </c>
      <c r="L82">
        <v>80</v>
      </c>
      <c r="N82" t="str">
        <f t="shared" si="15"/>
        <v>{label:'Rincian 2101A=3' , value:80},</v>
      </c>
      <c r="R82" t="str">
        <f t="shared" si="16"/>
        <v>{idk:50, rincian:'Rincian 264', kondisi: '&gt;0', fatal:1},</v>
      </c>
    </row>
    <row r="83" spans="1:18" x14ac:dyDescent="0.25">
      <c r="A83">
        <f t="shared" si="10"/>
        <v>51</v>
      </c>
      <c r="B83" s="3">
        <v>1802</v>
      </c>
      <c r="C83" t="s">
        <v>8</v>
      </c>
      <c r="D83" s="3" t="s">
        <v>39</v>
      </c>
      <c r="E83" t="s">
        <v>4</v>
      </c>
      <c r="F83">
        <v>1</v>
      </c>
      <c r="G83">
        <v>999</v>
      </c>
      <c r="H83">
        <f t="shared" si="12"/>
        <v>10</v>
      </c>
      <c r="I83">
        <f t="shared" si="13"/>
        <v>1</v>
      </c>
      <c r="J83" t="str">
        <f t="shared" si="14"/>
        <v>1802=1</v>
      </c>
      <c r="K83" t="str">
        <v>2101A=4</v>
      </c>
      <c r="L83">
        <v>81</v>
      </c>
      <c r="N83" t="str">
        <f t="shared" si="15"/>
        <v>{label:'Rincian 2101A=4' , value:81},</v>
      </c>
      <c r="R83" t="str">
        <f t="shared" si="16"/>
        <v>{idk:51, rincian:'Rincian VC 1 kol 2', kondisi: '&gt;0', fatal:1},</v>
      </c>
    </row>
    <row r="84" spans="1:18" x14ac:dyDescent="0.25">
      <c r="A84">
        <f t="shared" si="10"/>
        <v>51</v>
      </c>
      <c r="B84" s="3">
        <v>1802</v>
      </c>
      <c r="C84" s="1" t="s">
        <v>8</v>
      </c>
      <c r="D84" s="3">
        <v>200</v>
      </c>
      <c r="E84" t="s">
        <v>4</v>
      </c>
      <c r="F84">
        <v>1</v>
      </c>
      <c r="G84">
        <f t="shared" si="11"/>
        <v>200</v>
      </c>
      <c r="H84">
        <f t="shared" si="12"/>
        <v>3</v>
      </c>
      <c r="I84">
        <f t="shared" si="13"/>
        <v>0</v>
      </c>
      <c r="J84" t="str">
        <f t="shared" si="14"/>
        <v>1802=1</v>
      </c>
      <c r="K84" t="str">
        <v>2101C=1,2,3</v>
      </c>
      <c r="L84">
        <v>82</v>
      </c>
      <c r="N84" t="str">
        <f t="shared" si="15"/>
        <v>{label:'Rincian 2101C=1,2,3' , value:82},</v>
      </c>
      <c r="R84" t="str">
        <f t="shared" si="16"/>
        <v>{idk:51, rincian:'Rincian 200', kondisi: '&gt;0', fatal:1},</v>
      </c>
    </row>
    <row r="85" spans="1:18" x14ac:dyDescent="0.25">
      <c r="A85">
        <f t="shared" si="10"/>
        <v>51</v>
      </c>
      <c r="B85" s="3">
        <v>1802</v>
      </c>
      <c r="C85" t="s">
        <v>8</v>
      </c>
      <c r="D85" s="3">
        <v>308</v>
      </c>
      <c r="E85" t="s">
        <v>4</v>
      </c>
      <c r="F85">
        <v>1</v>
      </c>
      <c r="G85">
        <f t="shared" si="11"/>
        <v>308</v>
      </c>
      <c r="H85">
        <f t="shared" si="12"/>
        <v>3</v>
      </c>
      <c r="I85">
        <f t="shared" si="13"/>
        <v>0</v>
      </c>
      <c r="J85" t="str">
        <f t="shared" si="14"/>
        <v>1802=1</v>
      </c>
      <c r="K85" t="str">
        <v>2201C=1</v>
      </c>
      <c r="L85">
        <v>83</v>
      </c>
      <c r="N85" t="str">
        <f t="shared" si="15"/>
        <v>{label:'Rincian 2201C=1' , value:83},</v>
      </c>
      <c r="R85" t="str">
        <f t="shared" si="16"/>
        <v>{idk:51, rincian:'Rincian 308', kondisi: '&gt;0', fatal:1},</v>
      </c>
    </row>
    <row r="86" spans="1:18" x14ac:dyDescent="0.25">
      <c r="A86">
        <f t="shared" si="10"/>
        <v>52</v>
      </c>
      <c r="B86" s="3">
        <v>1802</v>
      </c>
      <c r="C86" s="1" t="s">
        <v>7</v>
      </c>
      <c r="D86" s="3" t="s">
        <v>40</v>
      </c>
      <c r="E86" t="s">
        <v>4</v>
      </c>
      <c r="F86">
        <v>1</v>
      </c>
      <c r="G86">
        <v>201</v>
      </c>
      <c r="H86">
        <f t="shared" si="12"/>
        <v>7</v>
      </c>
      <c r="I86">
        <f t="shared" si="13"/>
        <v>0</v>
      </c>
      <c r="J86" t="str">
        <f t="shared" si="14"/>
        <v>1802=2</v>
      </c>
      <c r="K86" t="str">
        <v>2201D=1</v>
      </c>
      <c r="L86">
        <v>84</v>
      </c>
      <c r="N86" t="str">
        <f t="shared" si="15"/>
        <v>{label:'Rincian 2201D=1' , value:84},</v>
      </c>
      <c r="R86" t="str">
        <f t="shared" si="16"/>
        <v>{idk:52, rincian:'Rincian 201+202', kondisi: '&gt;0', fatal:1},</v>
      </c>
    </row>
    <row r="87" spans="1:18" x14ac:dyDescent="0.25">
      <c r="A87">
        <f t="shared" si="10"/>
        <v>52</v>
      </c>
      <c r="B87" s="3">
        <v>1802</v>
      </c>
      <c r="C87" s="1" t="s">
        <v>7</v>
      </c>
      <c r="D87" s="3" t="s">
        <v>39</v>
      </c>
      <c r="E87" t="s">
        <v>94</v>
      </c>
      <c r="F87">
        <v>1</v>
      </c>
      <c r="G87">
        <v>999</v>
      </c>
      <c r="H87">
        <f t="shared" si="12"/>
        <v>10</v>
      </c>
      <c r="I87">
        <f t="shared" si="13"/>
        <v>1</v>
      </c>
      <c r="J87" t="str">
        <f t="shared" si="14"/>
        <v>1802=2</v>
      </c>
      <c r="K87" t="str">
        <v>2202=1,2</v>
      </c>
      <c r="L87">
        <v>85</v>
      </c>
      <c r="N87" t="str">
        <f t="shared" si="15"/>
        <v>{label:'Rincian 2202=1,2' , value:85},</v>
      </c>
      <c r="R87" t="str">
        <f t="shared" si="16"/>
        <v>{idk:52, rincian:'Rincian VC 1 kol 2', kondisi: ' harus kosong', fatal:1},</v>
      </c>
    </row>
    <row r="88" spans="1:18" x14ac:dyDescent="0.25">
      <c r="A88">
        <f t="shared" si="10"/>
        <v>53</v>
      </c>
      <c r="B88" s="3">
        <v>1802</v>
      </c>
      <c r="C88" s="1" t="s">
        <v>41</v>
      </c>
      <c r="D88" s="3">
        <v>200</v>
      </c>
      <c r="E88" t="s">
        <v>4</v>
      </c>
      <c r="F88">
        <v>1</v>
      </c>
      <c r="G88">
        <f t="shared" si="11"/>
        <v>200</v>
      </c>
      <c r="H88">
        <f t="shared" si="12"/>
        <v>3</v>
      </c>
      <c r="I88">
        <f t="shared" si="13"/>
        <v>0</v>
      </c>
      <c r="J88" t="str">
        <f t="shared" si="14"/>
        <v>1802=3</v>
      </c>
      <c r="K88" t="str">
        <v>2203=1</v>
      </c>
      <c r="L88">
        <v>86</v>
      </c>
      <c r="N88" t="str">
        <f t="shared" si="15"/>
        <v>{label:'Rincian 2203=1' , value:86},</v>
      </c>
      <c r="R88" t="str">
        <f t="shared" si="16"/>
        <v>{idk:53, rincian:'Rincian 200', kondisi: '&gt;0', fatal:1},</v>
      </c>
    </row>
    <row r="89" spans="1:18" x14ac:dyDescent="0.25">
      <c r="A89">
        <f t="shared" si="10"/>
        <v>53</v>
      </c>
      <c r="B89" s="3">
        <v>1802</v>
      </c>
      <c r="C89" s="1" t="s">
        <v>41</v>
      </c>
      <c r="D89" s="3" t="s">
        <v>39</v>
      </c>
      <c r="E89" t="s">
        <v>94</v>
      </c>
      <c r="F89">
        <v>1</v>
      </c>
      <c r="G89">
        <v>999</v>
      </c>
      <c r="H89">
        <f t="shared" si="12"/>
        <v>10</v>
      </c>
      <c r="I89">
        <f t="shared" si="13"/>
        <v>1</v>
      </c>
      <c r="J89" t="str">
        <f t="shared" si="14"/>
        <v>1802=3</v>
      </c>
      <c r="K89" t="str">
        <v>2205A=1</v>
      </c>
      <c r="L89">
        <v>87</v>
      </c>
      <c r="N89" t="str">
        <f t="shared" si="15"/>
        <v>{label:'Rincian 2205A=1' , value:87},</v>
      </c>
      <c r="R89" t="str">
        <f t="shared" si="16"/>
        <v>{idk:53, rincian:'Rincian VC 1 kol 2', kondisi: ' harus kosong', fatal:1},</v>
      </c>
    </row>
    <row r="90" spans="1:18" x14ac:dyDescent="0.25">
      <c r="A90">
        <f t="shared" si="10"/>
        <v>53</v>
      </c>
      <c r="B90" s="3">
        <v>1802</v>
      </c>
      <c r="C90" s="1" t="s">
        <v>41</v>
      </c>
      <c r="D90" s="3" t="s">
        <v>42</v>
      </c>
      <c r="E90" t="s">
        <v>4</v>
      </c>
      <c r="F90">
        <v>1</v>
      </c>
      <c r="G90">
        <v>999</v>
      </c>
      <c r="H90">
        <f t="shared" si="12"/>
        <v>10</v>
      </c>
      <c r="I90">
        <f t="shared" si="13"/>
        <v>1</v>
      </c>
      <c r="J90" t="str">
        <f t="shared" si="14"/>
        <v>1802=3</v>
      </c>
      <c r="K90" t="str">
        <v>2205B=1</v>
      </c>
      <c r="L90">
        <v>88</v>
      </c>
      <c r="N90" t="str">
        <f t="shared" si="15"/>
        <v>{label:'Rincian 2205B=1' , value:88},</v>
      </c>
      <c r="R90" t="str">
        <f t="shared" si="16"/>
        <v>{idk:53, rincian:'Rincian VE 3 kol 3', kondisi: '&gt;0', fatal:1},</v>
      </c>
    </row>
    <row r="91" spans="1:18" x14ac:dyDescent="0.25">
      <c r="A91">
        <f t="shared" si="10"/>
        <v>54</v>
      </c>
      <c r="B91" s="3">
        <v>1802</v>
      </c>
      <c r="C91" s="1" t="s">
        <v>43</v>
      </c>
      <c r="D91" s="3">
        <v>203</v>
      </c>
      <c r="E91" t="s">
        <v>4</v>
      </c>
      <c r="F91">
        <v>1</v>
      </c>
      <c r="G91">
        <f t="shared" si="11"/>
        <v>203</v>
      </c>
      <c r="H91">
        <f t="shared" si="12"/>
        <v>3</v>
      </c>
      <c r="I91">
        <f t="shared" si="13"/>
        <v>0</v>
      </c>
      <c r="J91" t="str">
        <f t="shared" si="14"/>
        <v>1802=4</v>
      </c>
      <c r="K91" t="str">
        <v>2206=1</v>
      </c>
      <c r="L91">
        <v>89</v>
      </c>
      <c r="N91" t="str">
        <f t="shared" si="15"/>
        <v>{label:'Rincian 2206=1' , value:89},</v>
      </c>
      <c r="R91" t="str">
        <f t="shared" si="16"/>
        <v>{idk:54, rincian:'Rincian 203', kondisi: '&gt;0', fatal:1},</v>
      </c>
    </row>
    <row r="92" spans="1:18" x14ac:dyDescent="0.25">
      <c r="A92">
        <f t="shared" si="10"/>
        <v>54</v>
      </c>
      <c r="B92" s="3">
        <v>1802</v>
      </c>
      <c r="C92" t="s">
        <v>43</v>
      </c>
      <c r="D92" s="3" t="s">
        <v>39</v>
      </c>
      <c r="E92" t="s">
        <v>94</v>
      </c>
      <c r="F92">
        <v>1</v>
      </c>
      <c r="G92">
        <v>999</v>
      </c>
      <c r="H92">
        <f t="shared" si="12"/>
        <v>10</v>
      </c>
      <c r="I92">
        <f t="shared" si="13"/>
        <v>1</v>
      </c>
      <c r="J92" t="str">
        <f t="shared" si="14"/>
        <v>1802=4</v>
      </c>
      <c r="K92" t="str">
        <v>2207=1</v>
      </c>
      <c r="L92">
        <v>90</v>
      </c>
      <c r="N92" t="str">
        <f t="shared" si="15"/>
        <v>{label:'Rincian 2207=1' , value:90},</v>
      </c>
      <c r="R92" t="str">
        <f t="shared" si="16"/>
        <v>{idk:54, rincian:'Rincian VC 1 kol 2', kondisi: ' harus kosong', fatal:1},</v>
      </c>
    </row>
    <row r="93" spans="1:18" x14ac:dyDescent="0.25">
      <c r="A93">
        <f t="shared" si="10"/>
        <v>54</v>
      </c>
      <c r="B93" s="3">
        <v>1802</v>
      </c>
      <c r="C93" s="1" t="s">
        <v>43</v>
      </c>
      <c r="D93" s="3" t="s">
        <v>44</v>
      </c>
      <c r="E93" t="s">
        <v>4</v>
      </c>
      <c r="F93">
        <v>1</v>
      </c>
      <c r="G93">
        <v>999</v>
      </c>
      <c r="H93">
        <f t="shared" si="12"/>
        <v>15</v>
      </c>
      <c r="I93">
        <f t="shared" si="13"/>
        <v>1</v>
      </c>
      <c r="J93" t="str">
        <f t="shared" si="14"/>
        <v>1802=4</v>
      </c>
      <c r="K93" t="str">
        <v>2209A=1</v>
      </c>
      <c r="L93">
        <v>91</v>
      </c>
      <c r="N93" t="str">
        <f t="shared" si="15"/>
        <v>{label:'Rincian 2209A=1' , value:91},</v>
      </c>
      <c r="R93" t="str">
        <f t="shared" si="16"/>
        <v>{idk:54, rincian:'Rincian VA jumlah kol 6', kondisi: '&gt;0', fatal:1},</v>
      </c>
    </row>
    <row r="94" spans="1:18" x14ac:dyDescent="0.25">
      <c r="A94">
        <f t="shared" si="10"/>
        <v>55</v>
      </c>
      <c r="B94" s="3">
        <v>1802</v>
      </c>
      <c r="C94" t="s">
        <v>37</v>
      </c>
      <c r="D94" s="3">
        <v>203</v>
      </c>
      <c r="E94" t="s">
        <v>4</v>
      </c>
      <c r="F94">
        <v>1</v>
      </c>
      <c r="G94">
        <f t="shared" si="11"/>
        <v>203</v>
      </c>
      <c r="H94">
        <f t="shared" si="12"/>
        <v>3</v>
      </c>
      <c r="I94">
        <f t="shared" si="13"/>
        <v>0</v>
      </c>
      <c r="J94" t="str">
        <f t="shared" si="14"/>
        <v>1802=5</v>
      </c>
      <c r="K94" t="str">
        <v>2209B=1</v>
      </c>
      <c r="L94">
        <v>92</v>
      </c>
      <c r="N94" t="str">
        <f t="shared" si="15"/>
        <v>{label:'Rincian 2209B=1' , value:92},</v>
      </c>
      <c r="R94" t="str">
        <f t="shared" si="16"/>
        <v>{idk:55, rincian:'Rincian 203', kondisi: '&gt;0', fatal:1},</v>
      </c>
    </row>
    <row r="95" spans="1:18" x14ac:dyDescent="0.25">
      <c r="A95">
        <f t="shared" si="10"/>
        <v>55</v>
      </c>
      <c r="B95" s="3">
        <v>1802</v>
      </c>
      <c r="C95" s="1" t="s">
        <v>37</v>
      </c>
      <c r="D95" s="3" t="s">
        <v>39</v>
      </c>
      <c r="E95" t="s">
        <v>94</v>
      </c>
      <c r="F95">
        <v>1</v>
      </c>
      <c r="G95">
        <v>999</v>
      </c>
      <c r="H95">
        <f t="shared" si="12"/>
        <v>10</v>
      </c>
      <c r="I95">
        <f t="shared" si="13"/>
        <v>1</v>
      </c>
      <c r="J95" t="str">
        <f t="shared" si="14"/>
        <v>1802=5</v>
      </c>
      <c r="K95" t="str">
        <v>2209C=1</v>
      </c>
      <c r="L95">
        <v>93</v>
      </c>
      <c r="N95" t="str">
        <f t="shared" si="15"/>
        <v>{label:'Rincian 2209C=1' , value:93},</v>
      </c>
      <c r="R95" t="str">
        <f t="shared" si="16"/>
        <v>{idk:55, rincian:'Rincian VC 1 kol 2', kondisi: ' harus kosong', fatal:1},</v>
      </c>
    </row>
    <row r="96" spans="1:18" x14ac:dyDescent="0.25">
      <c r="A96">
        <f t="shared" si="10"/>
        <v>56</v>
      </c>
      <c r="B96" s="3" t="s">
        <v>45</v>
      </c>
      <c r="C96" t="s">
        <v>46</v>
      </c>
      <c r="D96" s="3" t="s">
        <v>110</v>
      </c>
      <c r="E96" t="s">
        <v>4</v>
      </c>
      <c r="F96">
        <v>1</v>
      </c>
      <c r="G96">
        <v>999</v>
      </c>
      <c r="H96">
        <f t="shared" si="12"/>
        <v>10</v>
      </c>
      <c r="I96">
        <f t="shared" si="13"/>
        <v>1</v>
      </c>
      <c r="J96" t="str">
        <f t="shared" si="14"/>
        <v>1809D=00</v>
      </c>
      <c r="K96" t="str">
        <v>2209D=1</v>
      </c>
      <c r="L96">
        <v>94</v>
      </c>
      <c r="N96" t="str">
        <f t="shared" si="15"/>
        <v>{label:'Rincian 2209D=1' , value:94},</v>
      </c>
      <c r="R96" t="str">
        <f t="shared" si="16"/>
        <v>{idk:56, rincian:'Rincian VG 2 kol 2', kondisi: '&gt;0', fatal:1},</v>
      </c>
    </row>
    <row r="97" spans="1:18" x14ac:dyDescent="0.25">
      <c r="A97">
        <f t="shared" si="10"/>
        <v>57</v>
      </c>
      <c r="B97" s="3" t="s">
        <v>48</v>
      </c>
      <c r="C97" s="1" t="s">
        <v>8</v>
      </c>
      <c r="D97" s="3" t="s">
        <v>111</v>
      </c>
      <c r="E97" t="s">
        <v>4</v>
      </c>
      <c r="F97">
        <v>1</v>
      </c>
      <c r="G97">
        <v>184</v>
      </c>
      <c r="H97">
        <f t="shared" si="12"/>
        <v>9</v>
      </c>
      <c r="I97">
        <f t="shared" si="13"/>
        <v>0</v>
      </c>
      <c r="J97" t="str">
        <f t="shared" si="14"/>
        <v>1810A=1</v>
      </c>
      <c r="K97" t="str">
        <v>2210B=1</v>
      </c>
      <c r="L97">
        <v>95</v>
      </c>
      <c r="N97" t="str">
        <f t="shared" si="15"/>
        <v>{label:'Rincian 2210B=1' , value:95},</v>
      </c>
      <c r="R97" t="str">
        <f t="shared" si="16"/>
        <v>{idk:57, rincian:'Rincian 184 + 185', kondisi: '&gt;0', fatal:1},</v>
      </c>
    </row>
    <row r="98" spans="1:18" x14ac:dyDescent="0.25">
      <c r="A98">
        <f t="shared" si="10"/>
        <v>58</v>
      </c>
      <c r="B98" s="3" t="s">
        <v>48</v>
      </c>
      <c r="C98" s="1" t="s">
        <v>7</v>
      </c>
      <c r="D98" s="3">
        <v>185</v>
      </c>
      <c r="E98" t="s">
        <v>4</v>
      </c>
      <c r="F98">
        <v>1</v>
      </c>
      <c r="G98">
        <f t="shared" si="11"/>
        <v>185</v>
      </c>
      <c r="H98">
        <f t="shared" si="12"/>
        <v>3</v>
      </c>
      <c r="I98">
        <f t="shared" si="13"/>
        <v>0</v>
      </c>
      <c r="J98" t="str">
        <f t="shared" si="14"/>
        <v>1810A=2</v>
      </c>
      <c r="K98" t="str">
        <v>2211A=1</v>
      </c>
      <c r="L98">
        <v>96</v>
      </c>
      <c r="N98" t="str">
        <f t="shared" si="15"/>
        <v>{label:'Rincian 2211A=1' , value:96},</v>
      </c>
      <c r="R98" t="str">
        <f t="shared" si="16"/>
        <v>{idk:58, rincian:'Rincian 185', kondisi: '&gt;0', fatal:1},</v>
      </c>
    </row>
    <row r="99" spans="1:18" x14ac:dyDescent="0.25">
      <c r="A99">
        <f t="shared" ref="A99:A130" si="17">VLOOKUP(CONCATENATE(B99,C99),$K$2:$L$155,2,FALSE)</f>
        <v>59</v>
      </c>
      <c r="B99" s="3" t="s">
        <v>49</v>
      </c>
      <c r="C99" t="s">
        <v>8</v>
      </c>
      <c r="D99" s="3" t="s">
        <v>112</v>
      </c>
      <c r="E99" t="s">
        <v>4</v>
      </c>
      <c r="F99">
        <v>1</v>
      </c>
      <c r="G99">
        <v>184</v>
      </c>
      <c r="H99">
        <f t="shared" ref="H99:H130" si="18">LEN(D99)</f>
        <v>7</v>
      </c>
      <c r="I99">
        <f t="shared" ref="I99:I130" si="19">IF(LEFT(D99,1)="V",1,0)</f>
        <v>0</v>
      </c>
      <c r="J99" t="str">
        <f t="shared" si="14"/>
        <v>1814A=1</v>
      </c>
      <c r="K99" t="str">
        <v>2211B=1</v>
      </c>
      <c r="L99">
        <v>97</v>
      </c>
      <c r="N99" t="str">
        <f t="shared" si="15"/>
        <v>{label:'Rincian 2211B=1' , value:97},</v>
      </c>
      <c r="R99" t="str">
        <f t="shared" si="16"/>
        <v>{idk:59, rincian:'Rincian 184+185', kondisi: '&gt;0', fatal:1},</v>
      </c>
    </row>
    <row r="100" spans="1:18" x14ac:dyDescent="0.25">
      <c r="A100">
        <f t="shared" si="17"/>
        <v>60</v>
      </c>
      <c r="B100" s="3" t="s">
        <v>49</v>
      </c>
      <c r="C100" s="1" t="s">
        <v>7</v>
      </c>
      <c r="D100" s="3">
        <v>185</v>
      </c>
      <c r="E100" t="s">
        <v>4</v>
      </c>
      <c r="F100">
        <v>1</v>
      </c>
      <c r="G100">
        <f t="shared" si="11"/>
        <v>185</v>
      </c>
      <c r="H100">
        <f t="shared" si="18"/>
        <v>3</v>
      </c>
      <c r="I100">
        <f t="shared" si="19"/>
        <v>0</v>
      </c>
      <c r="J100" t="str">
        <f t="shared" si="14"/>
        <v>1814A=2</v>
      </c>
      <c r="R100" t="str">
        <f t="shared" si="16"/>
        <v>{idk:60, rincian:'Rincian 185', kondisi: '&gt;0', fatal:1},</v>
      </c>
    </row>
    <row r="101" spans="1:18" x14ac:dyDescent="0.25">
      <c r="A101">
        <f t="shared" si="17"/>
        <v>61</v>
      </c>
      <c r="B101" s="3" t="s">
        <v>50</v>
      </c>
      <c r="C101" t="s">
        <v>6</v>
      </c>
      <c r="D101" s="3">
        <v>205</v>
      </c>
      <c r="E101" t="s">
        <v>4</v>
      </c>
      <c r="F101">
        <v>1</v>
      </c>
      <c r="G101">
        <f t="shared" si="11"/>
        <v>205</v>
      </c>
      <c r="H101">
        <f t="shared" si="18"/>
        <v>3</v>
      </c>
      <c r="I101">
        <f t="shared" si="19"/>
        <v>0</v>
      </c>
      <c r="J101" t="str">
        <f t="shared" si="14"/>
        <v>1816A=1,2</v>
      </c>
      <c r="R101" t="str">
        <f t="shared" si="16"/>
        <v>{idk:61, rincian:'Rincian 205', kondisi: '&gt;0', fatal:1},</v>
      </c>
    </row>
    <row r="102" spans="1:18" x14ac:dyDescent="0.25">
      <c r="A102">
        <f t="shared" si="17"/>
        <v>61</v>
      </c>
      <c r="B102" s="3" t="s">
        <v>50</v>
      </c>
      <c r="C102" s="1" t="s">
        <v>6</v>
      </c>
      <c r="D102" s="3">
        <v>206</v>
      </c>
      <c r="E102" t="s">
        <v>4</v>
      </c>
      <c r="F102">
        <v>1</v>
      </c>
      <c r="G102">
        <f t="shared" si="11"/>
        <v>206</v>
      </c>
      <c r="H102">
        <f t="shared" si="18"/>
        <v>3</v>
      </c>
      <c r="I102">
        <f t="shared" si="19"/>
        <v>0</v>
      </c>
      <c r="J102" t="str">
        <f t="shared" si="14"/>
        <v>1816A=1,2</v>
      </c>
      <c r="R102" t="str">
        <f t="shared" si="16"/>
        <v>{idk:61, rincian:'Rincian 206', kondisi: '&gt;0', fatal:1},</v>
      </c>
    </row>
    <row r="103" spans="1:18" x14ac:dyDescent="0.25">
      <c r="A103">
        <f t="shared" si="17"/>
        <v>62</v>
      </c>
      <c r="B103" s="3">
        <v>1817</v>
      </c>
      <c r="C103" s="1" t="s">
        <v>8</v>
      </c>
      <c r="D103" s="3">
        <v>205</v>
      </c>
      <c r="E103" t="s">
        <v>4</v>
      </c>
      <c r="F103">
        <v>1</v>
      </c>
      <c r="G103">
        <f t="shared" si="11"/>
        <v>205</v>
      </c>
      <c r="H103">
        <f t="shared" si="18"/>
        <v>3</v>
      </c>
      <c r="I103">
        <f t="shared" si="19"/>
        <v>0</v>
      </c>
      <c r="J103" t="str">
        <f t="shared" si="14"/>
        <v>1817=1</v>
      </c>
      <c r="R103" t="str">
        <f t="shared" si="16"/>
        <v>{idk:62, rincian:'Rincian 205', kondisi: '&gt;0', fatal:1},</v>
      </c>
    </row>
    <row r="104" spans="1:18" x14ac:dyDescent="0.25">
      <c r="A104">
        <f t="shared" si="17"/>
        <v>62</v>
      </c>
      <c r="B104" s="3">
        <v>1817</v>
      </c>
      <c r="C104" t="s">
        <v>8</v>
      </c>
      <c r="D104" s="3">
        <v>206</v>
      </c>
      <c r="E104" t="s">
        <v>4</v>
      </c>
      <c r="F104">
        <v>1</v>
      </c>
      <c r="G104">
        <f t="shared" si="11"/>
        <v>206</v>
      </c>
      <c r="H104">
        <f t="shared" si="18"/>
        <v>3</v>
      </c>
      <c r="I104">
        <f t="shared" si="19"/>
        <v>0</v>
      </c>
      <c r="J104" t="str">
        <f t="shared" si="14"/>
        <v>1817=1</v>
      </c>
      <c r="R104" t="str">
        <f t="shared" si="16"/>
        <v>{idk:62, rincian:'Rincian 206', kondisi: '&gt;0', fatal:1},</v>
      </c>
    </row>
    <row r="105" spans="1:18" x14ac:dyDescent="0.25">
      <c r="A105">
        <f t="shared" si="17"/>
        <v>63</v>
      </c>
      <c r="B105" s="3">
        <v>1817</v>
      </c>
      <c r="C105" s="1" t="s">
        <v>51</v>
      </c>
      <c r="D105" s="3">
        <v>224</v>
      </c>
      <c r="E105" t="s">
        <v>4</v>
      </c>
      <c r="F105">
        <v>1</v>
      </c>
      <c r="G105">
        <f t="shared" si="11"/>
        <v>224</v>
      </c>
      <c r="H105">
        <f t="shared" si="18"/>
        <v>3</v>
      </c>
      <c r="I105">
        <f t="shared" si="19"/>
        <v>0</v>
      </c>
      <c r="J105" t="str">
        <f t="shared" si="14"/>
        <v>1817=2,3,4</v>
      </c>
      <c r="R105" t="str">
        <f t="shared" si="16"/>
        <v>{idk:63, rincian:'Rincian 224', kondisi: '&gt;0', fatal:1},</v>
      </c>
    </row>
    <row r="106" spans="1:18" x14ac:dyDescent="0.25">
      <c r="A106">
        <f t="shared" si="17"/>
        <v>63</v>
      </c>
      <c r="B106" s="3">
        <v>1817</v>
      </c>
      <c r="C106" t="s">
        <v>51</v>
      </c>
      <c r="D106" s="3">
        <v>225</v>
      </c>
      <c r="E106" t="s">
        <v>4</v>
      </c>
      <c r="F106">
        <v>1</v>
      </c>
      <c r="G106">
        <f t="shared" si="11"/>
        <v>225</v>
      </c>
      <c r="H106">
        <f t="shared" si="18"/>
        <v>3</v>
      </c>
      <c r="I106">
        <f t="shared" si="19"/>
        <v>0</v>
      </c>
      <c r="J106" t="str">
        <f t="shared" si="14"/>
        <v>1817=2,3,4</v>
      </c>
      <c r="R106" t="str">
        <f t="shared" si="16"/>
        <v>{idk:63, rincian:'Rincian 225', kondisi: '&gt;0', fatal:1},</v>
      </c>
    </row>
    <row r="107" spans="1:18" x14ac:dyDescent="0.25">
      <c r="A107">
        <f t="shared" si="17"/>
        <v>64</v>
      </c>
      <c r="B107" s="3">
        <v>1817</v>
      </c>
      <c r="C107" t="s">
        <v>52</v>
      </c>
      <c r="D107" s="3">
        <v>232</v>
      </c>
      <c r="E107" t="s">
        <v>4</v>
      </c>
      <c r="F107">
        <v>1</v>
      </c>
      <c r="G107">
        <f t="shared" si="11"/>
        <v>232</v>
      </c>
      <c r="H107">
        <f t="shared" si="18"/>
        <v>3</v>
      </c>
      <c r="I107">
        <f t="shared" si="19"/>
        <v>0</v>
      </c>
      <c r="J107" t="str">
        <f t="shared" si="14"/>
        <v>1817=6</v>
      </c>
      <c r="R107" t="str">
        <f t="shared" si="16"/>
        <v>{idk:64, rincian:'Rincian 232', kondisi: '&gt;0', fatal:1},</v>
      </c>
    </row>
    <row r="108" spans="1:18" x14ac:dyDescent="0.25">
      <c r="A108">
        <f t="shared" si="17"/>
        <v>65</v>
      </c>
      <c r="B108" s="3">
        <v>1817</v>
      </c>
      <c r="C108" s="1" t="s">
        <v>53</v>
      </c>
      <c r="D108" s="3">
        <v>228</v>
      </c>
      <c r="E108" t="s">
        <v>4</v>
      </c>
      <c r="F108">
        <v>1</v>
      </c>
      <c r="G108">
        <f t="shared" si="11"/>
        <v>228</v>
      </c>
      <c r="H108">
        <f t="shared" si="18"/>
        <v>3</v>
      </c>
      <c r="I108">
        <f t="shared" si="19"/>
        <v>0</v>
      </c>
      <c r="J108" t="str">
        <f t="shared" si="14"/>
        <v>1817=7</v>
      </c>
      <c r="R108" t="str">
        <f t="shared" si="16"/>
        <v>{idk:65, rincian:'Rincian 228', kondisi: '&gt;0', fatal:1},</v>
      </c>
    </row>
    <row r="109" spans="1:18" x14ac:dyDescent="0.25">
      <c r="A109">
        <f t="shared" si="17"/>
        <v>65</v>
      </c>
      <c r="B109" s="3">
        <v>1817</v>
      </c>
      <c r="C109" t="s">
        <v>53</v>
      </c>
      <c r="D109" s="3">
        <v>229</v>
      </c>
      <c r="E109" t="s">
        <v>4</v>
      </c>
      <c r="F109">
        <v>1</v>
      </c>
      <c r="G109">
        <f t="shared" si="11"/>
        <v>229</v>
      </c>
      <c r="H109">
        <f t="shared" si="18"/>
        <v>3</v>
      </c>
      <c r="I109">
        <f t="shared" si="19"/>
        <v>0</v>
      </c>
      <c r="J109" t="str">
        <f t="shared" si="14"/>
        <v>1817=7</v>
      </c>
      <c r="R109" t="str">
        <f t="shared" si="16"/>
        <v>{idk:65, rincian:'Rincian 229', kondisi: '&gt;0', fatal:1},</v>
      </c>
    </row>
    <row r="110" spans="1:18" x14ac:dyDescent="0.25">
      <c r="A110">
        <f t="shared" si="17"/>
        <v>66</v>
      </c>
      <c r="B110" s="3">
        <v>1817</v>
      </c>
      <c r="C110" s="1" t="s">
        <v>54</v>
      </c>
      <c r="D110" s="3">
        <v>230</v>
      </c>
      <c r="E110" t="s">
        <v>4</v>
      </c>
      <c r="F110">
        <v>1</v>
      </c>
      <c r="G110">
        <f t="shared" si="11"/>
        <v>230</v>
      </c>
      <c r="H110">
        <f t="shared" si="18"/>
        <v>3</v>
      </c>
      <c r="I110">
        <f t="shared" si="19"/>
        <v>0</v>
      </c>
      <c r="J110" t="str">
        <f t="shared" si="14"/>
        <v>1817=8,9</v>
      </c>
      <c r="R110" t="str">
        <f t="shared" si="16"/>
        <v>{idk:66, rincian:'Rincian 230', kondisi: '&gt;0', fatal:1},</v>
      </c>
    </row>
    <row r="111" spans="1:18" x14ac:dyDescent="0.25">
      <c r="A111">
        <f t="shared" si="17"/>
        <v>66</v>
      </c>
      <c r="B111" s="3">
        <v>1817</v>
      </c>
      <c r="C111" t="s">
        <v>54</v>
      </c>
      <c r="D111" s="3">
        <v>231</v>
      </c>
      <c r="E111" t="s">
        <v>4</v>
      </c>
      <c r="F111">
        <v>1</v>
      </c>
      <c r="G111">
        <f t="shared" si="11"/>
        <v>231</v>
      </c>
      <c r="H111">
        <f t="shared" si="18"/>
        <v>3</v>
      </c>
      <c r="I111">
        <f t="shared" si="19"/>
        <v>0</v>
      </c>
      <c r="J111" t="str">
        <f t="shared" si="14"/>
        <v>1817=8,9</v>
      </c>
      <c r="R111" t="str">
        <f t="shared" si="16"/>
        <v>{idk:66, rincian:'Rincian 231', kondisi: '&gt;0', fatal:1},</v>
      </c>
    </row>
    <row r="112" spans="1:18" x14ac:dyDescent="0.25">
      <c r="A112">
        <f t="shared" si="17"/>
        <v>67</v>
      </c>
      <c r="B112" s="3">
        <v>1817</v>
      </c>
      <c r="C112" s="1" t="s">
        <v>55</v>
      </c>
      <c r="D112" s="3">
        <v>233</v>
      </c>
      <c r="E112" t="s">
        <v>4</v>
      </c>
      <c r="F112">
        <v>1</v>
      </c>
      <c r="G112">
        <f t="shared" si="11"/>
        <v>233</v>
      </c>
      <c r="H112">
        <f t="shared" si="18"/>
        <v>3</v>
      </c>
      <c r="I112">
        <f t="shared" si="19"/>
        <v>0</v>
      </c>
      <c r="J112" t="str">
        <f t="shared" si="14"/>
        <v>1817=10,11</v>
      </c>
      <c r="R112" t="str">
        <f t="shared" si="16"/>
        <v>{idk:67, rincian:'Rincian 233', kondisi: '&gt;0', fatal:1},</v>
      </c>
    </row>
    <row r="113" spans="1:18" x14ac:dyDescent="0.25">
      <c r="A113">
        <f t="shared" si="17"/>
        <v>68</v>
      </c>
      <c r="B113" s="3">
        <v>1817</v>
      </c>
      <c r="C113" t="s">
        <v>37</v>
      </c>
      <c r="D113" s="3">
        <v>226</v>
      </c>
      <c r="E113" t="s">
        <v>4</v>
      </c>
      <c r="F113">
        <v>1</v>
      </c>
      <c r="G113">
        <f t="shared" si="11"/>
        <v>226</v>
      </c>
      <c r="H113">
        <f t="shared" si="18"/>
        <v>3</v>
      </c>
      <c r="I113">
        <f t="shared" si="19"/>
        <v>0</v>
      </c>
      <c r="J113" t="str">
        <f t="shared" si="14"/>
        <v>1817=5</v>
      </c>
      <c r="R113" t="str">
        <f t="shared" si="16"/>
        <v>{idk:68, rincian:'Rincian 226', kondisi: '&gt;0', fatal:1},</v>
      </c>
    </row>
    <row r="114" spans="1:18" x14ac:dyDescent="0.25">
      <c r="A114">
        <f t="shared" si="17"/>
        <v>68</v>
      </c>
      <c r="B114" s="3">
        <v>1817</v>
      </c>
      <c r="C114" s="1" t="s">
        <v>37</v>
      </c>
      <c r="D114" s="3">
        <v>227</v>
      </c>
      <c r="E114" t="s">
        <v>4</v>
      </c>
      <c r="F114">
        <v>1</v>
      </c>
      <c r="G114">
        <f t="shared" si="11"/>
        <v>227</v>
      </c>
      <c r="H114">
        <f t="shared" si="18"/>
        <v>3</v>
      </c>
      <c r="I114">
        <f t="shared" si="19"/>
        <v>0</v>
      </c>
      <c r="J114" t="str">
        <f t="shared" si="14"/>
        <v>1817=5</v>
      </c>
      <c r="R114" t="str">
        <f t="shared" si="16"/>
        <v>{idk:68, rincian:'Rincian 227', kondisi: '&gt;0', fatal:1},</v>
      </c>
    </row>
    <row r="115" spans="1:18" x14ac:dyDescent="0.25">
      <c r="A115">
        <f t="shared" si="17"/>
        <v>69</v>
      </c>
      <c r="B115" s="3">
        <v>1901</v>
      </c>
      <c r="C115" s="1" t="s">
        <v>8</v>
      </c>
      <c r="D115" s="3" t="s">
        <v>113</v>
      </c>
      <c r="E115" t="s">
        <v>4</v>
      </c>
      <c r="F115">
        <v>2</v>
      </c>
      <c r="G115">
        <v>999</v>
      </c>
      <c r="H115">
        <f t="shared" si="18"/>
        <v>25</v>
      </c>
      <c r="I115">
        <f t="shared" si="19"/>
        <v>1</v>
      </c>
      <c r="J115" t="str">
        <f t="shared" si="14"/>
        <v>1901=1</v>
      </c>
      <c r="R115" t="str">
        <f t="shared" si="16"/>
        <v>{idk:69, rincian:'Rincian VII 2 kol 2 + VII 4 kol 2', kondisi: '&gt;0', fatal:2},</v>
      </c>
    </row>
    <row r="116" spans="1:18" x14ac:dyDescent="0.25">
      <c r="A116">
        <f t="shared" si="17"/>
        <v>69</v>
      </c>
      <c r="B116" s="3">
        <v>1901</v>
      </c>
      <c r="C116" t="s">
        <v>8</v>
      </c>
      <c r="D116" s="3" t="s">
        <v>114</v>
      </c>
      <c r="E116" t="s">
        <v>4</v>
      </c>
      <c r="F116">
        <v>2</v>
      </c>
      <c r="G116">
        <v>999</v>
      </c>
      <c r="H116">
        <f t="shared" si="18"/>
        <v>25</v>
      </c>
      <c r="I116">
        <f t="shared" si="19"/>
        <v>1</v>
      </c>
      <c r="J116" t="str">
        <f t="shared" si="14"/>
        <v>1901=1</v>
      </c>
      <c r="R116" t="str">
        <f t="shared" si="16"/>
        <v>{idk:69, rincian:'Rincian VII 2 kol 4 + VII 4 kol 4', kondisi: '&gt;0', fatal:2},</v>
      </c>
    </row>
    <row r="117" spans="1:18" x14ac:dyDescent="0.25">
      <c r="A117">
        <f t="shared" si="17"/>
        <v>69</v>
      </c>
      <c r="B117" s="3">
        <v>1901</v>
      </c>
      <c r="C117" t="s">
        <v>8</v>
      </c>
      <c r="D117" s="3" t="s">
        <v>56</v>
      </c>
      <c r="E117" t="s">
        <v>4</v>
      </c>
      <c r="F117">
        <v>2</v>
      </c>
      <c r="G117">
        <v>999</v>
      </c>
      <c r="H117">
        <f t="shared" si="18"/>
        <v>10</v>
      </c>
      <c r="I117">
        <f t="shared" si="19"/>
        <v>1</v>
      </c>
      <c r="J117" t="str">
        <f t="shared" si="14"/>
        <v>1901=1</v>
      </c>
      <c r="R117" t="str">
        <f t="shared" si="16"/>
        <v>{idk:69, rincian:'Rincian VD 4 kol 3', kondisi: '&gt;0', fatal:2},</v>
      </c>
    </row>
    <row r="118" spans="1:18" x14ac:dyDescent="0.25">
      <c r="A118">
        <f t="shared" si="17"/>
        <v>70</v>
      </c>
      <c r="B118" s="3" t="s">
        <v>57</v>
      </c>
      <c r="C118" t="s">
        <v>8</v>
      </c>
      <c r="D118" s="3">
        <v>278</v>
      </c>
      <c r="E118" t="s">
        <v>4</v>
      </c>
      <c r="F118">
        <v>2</v>
      </c>
      <c r="G118">
        <f t="shared" si="11"/>
        <v>278</v>
      </c>
      <c r="H118">
        <f t="shared" si="18"/>
        <v>3</v>
      </c>
      <c r="I118">
        <f t="shared" si="19"/>
        <v>0</v>
      </c>
      <c r="J118" t="str">
        <f t="shared" si="14"/>
        <v>1901A=1</v>
      </c>
      <c r="R118" t="str">
        <f t="shared" si="16"/>
        <v>{idk:70, rincian:'Rincian 278', kondisi: '&gt;0', fatal:2},</v>
      </c>
    </row>
    <row r="119" spans="1:18" x14ac:dyDescent="0.25">
      <c r="A119">
        <f t="shared" si="17"/>
        <v>70</v>
      </c>
      <c r="B119" s="3" t="s">
        <v>57</v>
      </c>
      <c r="C119" t="s">
        <v>8</v>
      </c>
      <c r="D119" s="3" t="s">
        <v>116</v>
      </c>
      <c r="E119" t="s">
        <v>4</v>
      </c>
      <c r="F119">
        <v>2</v>
      </c>
      <c r="G119">
        <v>999</v>
      </c>
      <c r="H119">
        <f t="shared" si="18"/>
        <v>23</v>
      </c>
      <c r="I119">
        <f t="shared" si="19"/>
        <v>1</v>
      </c>
      <c r="J119" t="str">
        <f t="shared" si="14"/>
        <v>1901A=1</v>
      </c>
      <c r="R119" t="str">
        <f t="shared" si="16"/>
        <v>{idk:70, rincian:'Rincian VD 4 kol 2 + VD 4 kol 3', kondisi: '&gt;0', fatal:2},</v>
      </c>
    </row>
    <row r="120" spans="1:18" x14ac:dyDescent="0.25">
      <c r="A120">
        <f t="shared" si="17"/>
        <v>71</v>
      </c>
      <c r="B120" s="3" t="s">
        <v>58</v>
      </c>
      <c r="C120" t="s">
        <v>8</v>
      </c>
      <c r="D120" s="3">
        <v>278</v>
      </c>
      <c r="E120" t="s">
        <v>4</v>
      </c>
      <c r="F120">
        <v>2</v>
      </c>
      <c r="G120">
        <f t="shared" si="11"/>
        <v>278</v>
      </c>
      <c r="H120">
        <f t="shared" si="18"/>
        <v>3</v>
      </c>
      <c r="I120">
        <f t="shared" si="19"/>
        <v>0</v>
      </c>
      <c r="J120" t="str">
        <f t="shared" si="14"/>
        <v>1901B=1</v>
      </c>
      <c r="R120" t="str">
        <f t="shared" si="16"/>
        <v>{idk:71, rincian:'Rincian 278', kondisi: '&gt;0', fatal:2},</v>
      </c>
    </row>
    <row r="121" spans="1:18" x14ac:dyDescent="0.25">
      <c r="A121">
        <f t="shared" si="17"/>
        <v>71</v>
      </c>
      <c r="B121" s="3" t="s">
        <v>58</v>
      </c>
      <c r="C121" t="s">
        <v>8</v>
      </c>
      <c r="D121" s="3" t="s">
        <v>116</v>
      </c>
      <c r="E121" t="s">
        <v>4</v>
      </c>
      <c r="F121">
        <v>2</v>
      </c>
      <c r="G121">
        <v>999</v>
      </c>
      <c r="H121">
        <f t="shared" si="18"/>
        <v>23</v>
      </c>
      <c r="I121">
        <f t="shared" si="19"/>
        <v>1</v>
      </c>
      <c r="J121" t="str">
        <f t="shared" si="14"/>
        <v>1901B=1</v>
      </c>
      <c r="R121" t="str">
        <f t="shared" si="16"/>
        <v>{idk:71, rincian:'Rincian VD 4 kol 2 + VD 4 kol 3', kondisi: '&gt;0', fatal:2},</v>
      </c>
    </row>
    <row r="122" spans="1:18" x14ac:dyDescent="0.25">
      <c r="A122">
        <f t="shared" si="17"/>
        <v>72</v>
      </c>
      <c r="B122" s="3" t="s">
        <v>59</v>
      </c>
      <c r="C122" s="1" t="s">
        <v>8</v>
      </c>
      <c r="D122" s="3">
        <v>278</v>
      </c>
      <c r="E122" t="s">
        <v>4</v>
      </c>
      <c r="F122">
        <v>2</v>
      </c>
      <c r="G122">
        <f t="shared" si="11"/>
        <v>278</v>
      </c>
      <c r="H122">
        <f t="shared" si="18"/>
        <v>3</v>
      </c>
      <c r="I122">
        <f t="shared" si="19"/>
        <v>0</v>
      </c>
      <c r="J122" t="str">
        <f t="shared" si="14"/>
        <v>1901C=1</v>
      </c>
      <c r="R122" t="str">
        <f t="shared" si="16"/>
        <v>{idk:72, rincian:'Rincian 278', kondisi: '&gt;0', fatal:2},</v>
      </c>
    </row>
    <row r="123" spans="1:18" x14ac:dyDescent="0.25">
      <c r="A123">
        <f t="shared" si="17"/>
        <v>72</v>
      </c>
      <c r="B123" s="3" t="s">
        <v>59</v>
      </c>
      <c r="C123" t="s">
        <v>8</v>
      </c>
      <c r="D123" s="3" t="s">
        <v>116</v>
      </c>
      <c r="E123" t="s">
        <v>4</v>
      </c>
      <c r="F123">
        <v>2</v>
      </c>
      <c r="G123">
        <v>999</v>
      </c>
      <c r="H123">
        <f t="shared" si="18"/>
        <v>23</v>
      </c>
      <c r="I123">
        <f t="shared" si="19"/>
        <v>1</v>
      </c>
      <c r="J123" t="str">
        <f t="shared" si="14"/>
        <v>1901C=1</v>
      </c>
      <c r="R123" t="str">
        <f t="shared" si="16"/>
        <v>{idk:72, rincian:'Rincian VD 4 kol 2 + VD 4 kol 3', kondisi: '&gt;0', fatal:2},</v>
      </c>
    </row>
    <row r="124" spans="1:18" x14ac:dyDescent="0.25">
      <c r="A124">
        <f t="shared" si="17"/>
        <v>73</v>
      </c>
      <c r="B124" s="3" t="s">
        <v>115</v>
      </c>
      <c r="C124" t="s">
        <v>8</v>
      </c>
      <c r="D124" s="3" t="s">
        <v>56</v>
      </c>
      <c r="E124" t="s">
        <v>4</v>
      </c>
      <c r="F124">
        <v>2</v>
      </c>
      <c r="G124">
        <v>999</v>
      </c>
      <c r="H124">
        <f t="shared" si="18"/>
        <v>10</v>
      </c>
      <c r="I124">
        <f t="shared" si="19"/>
        <v>1</v>
      </c>
      <c r="J124" t="str">
        <f t="shared" si="14"/>
        <v>1901E=1</v>
      </c>
      <c r="R124" t="str">
        <f t="shared" si="16"/>
        <v>{idk:73, rincian:'Rincian VD 4 kol 3', kondisi: '&gt;0', fatal:2},</v>
      </c>
    </row>
    <row r="125" spans="1:18" x14ac:dyDescent="0.25">
      <c r="A125">
        <f t="shared" si="17"/>
        <v>74</v>
      </c>
      <c r="B125" s="3" t="s">
        <v>60</v>
      </c>
      <c r="C125" t="s">
        <v>8</v>
      </c>
      <c r="D125" s="3">
        <v>235</v>
      </c>
      <c r="E125" t="s">
        <v>4</v>
      </c>
      <c r="F125">
        <v>1</v>
      </c>
      <c r="G125">
        <f t="shared" si="11"/>
        <v>235</v>
      </c>
      <c r="H125">
        <f t="shared" si="18"/>
        <v>3</v>
      </c>
      <c r="I125">
        <f t="shared" si="19"/>
        <v>0</v>
      </c>
      <c r="J125" t="str">
        <f t="shared" si="14"/>
        <v>2001E=1</v>
      </c>
      <c r="R125" t="str">
        <f t="shared" si="16"/>
        <v>{idk:74, rincian:'Rincian 235', kondisi: '&gt;0', fatal:1},</v>
      </c>
    </row>
    <row r="126" spans="1:18" x14ac:dyDescent="0.25">
      <c r="A126">
        <f t="shared" si="17"/>
        <v>75</v>
      </c>
      <c r="B126" s="3" t="s">
        <v>61</v>
      </c>
      <c r="C126" t="s">
        <v>8</v>
      </c>
      <c r="D126" s="3">
        <v>215</v>
      </c>
      <c r="E126" t="s">
        <v>4</v>
      </c>
      <c r="F126">
        <v>1</v>
      </c>
      <c r="G126">
        <f t="shared" si="11"/>
        <v>215</v>
      </c>
      <c r="H126">
        <f t="shared" si="18"/>
        <v>3</v>
      </c>
      <c r="I126">
        <f t="shared" si="19"/>
        <v>0</v>
      </c>
      <c r="J126" t="str">
        <f t="shared" si="14"/>
        <v>2001H=1</v>
      </c>
      <c r="R126" t="str">
        <f t="shared" si="16"/>
        <v>{idk:75, rincian:'Rincian 215', kondisi: '&gt;0', fatal:1},</v>
      </c>
    </row>
    <row r="127" spans="1:18" x14ac:dyDescent="0.25">
      <c r="A127">
        <f t="shared" si="17"/>
        <v>75</v>
      </c>
      <c r="B127" s="3" t="s">
        <v>61</v>
      </c>
      <c r="C127" s="1" t="s">
        <v>8</v>
      </c>
      <c r="D127" s="3">
        <v>216</v>
      </c>
      <c r="E127" t="s">
        <v>4</v>
      </c>
      <c r="F127">
        <v>1</v>
      </c>
      <c r="G127">
        <f t="shared" si="11"/>
        <v>216</v>
      </c>
      <c r="H127">
        <f t="shared" si="18"/>
        <v>3</v>
      </c>
      <c r="I127">
        <f t="shared" si="19"/>
        <v>0</v>
      </c>
      <c r="J127" t="str">
        <f t="shared" si="14"/>
        <v>2001H=1</v>
      </c>
      <c r="R127" t="str">
        <f t="shared" si="16"/>
        <v>{idk:75, rincian:'Rincian 216', kondisi: '&gt;0', fatal:1},</v>
      </c>
    </row>
    <row r="128" spans="1:18" x14ac:dyDescent="0.25">
      <c r="A128">
        <f t="shared" si="17"/>
        <v>75</v>
      </c>
      <c r="B128" s="3" t="s">
        <v>61</v>
      </c>
      <c r="C128" t="s">
        <v>8</v>
      </c>
      <c r="D128" s="3">
        <v>221</v>
      </c>
      <c r="E128" t="s">
        <v>4</v>
      </c>
      <c r="F128">
        <v>1</v>
      </c>
      <c r="G128">
        <f t="shared" si="11"/>
        <v>221</v>
      </c>
      <c r="H128">
        <f t="shared" si="18"/>
        <v>3</v>
      </c>
      <c r="I128">
        <f t="shared" si="19"/>
        <v>0</v>
      </c>
      <c r="J128" t="str">
        <f t="shared" si="14"/>
        <v>2001H=1</v>
      </c>
      <c r="R128" t="str">
        <f t="shared" si="16"/>
        <v>{idk:75, rincian:'Rincian 221', kondisi: '&gt;0', fatal:1},</v>
      </c>
    </row>
    <row r="129" spans="1:18" x14ac:dyDescent="0.25">
      <c r="A129">
        <f t="shared" si="17"/>
        <v>75</v>
      </c>
      <c r="B129" s="3" t="s">
        <v>61</v>
      </c>
      <c r="C129" t="s">
        <v>8</v>
      </c>
      <c r="D129" s="3">
        <v>222</v>
      </c>
      <c r="E129" t="s">
        <v>4</v>
      </c>
      <c r="F129">
        <v>1</v>
      </c>
      <c r="G129">
        <f t="shared" si="11"/>
        <v>222</v>
      </c>
      <c r="H129">
        <f t="shared" si="18"/>
        <v>3</v>
      </c>
      <c r="I129">
        <f t="shared" si="19"/>
        <v>0</v>
      </c>
      <c r="J129" t="str">
        <f t="shared" si="14"/>
        <v>2001H=1</v>
      </c>
      <c r="R129" t="str">
        <f t="shared" si="16"/>
        <v>{idk:75, rincian:'Rincian 222', kondisi: '&gt;0', fatal:1},</v>
      </c>
    </row>
    <row r="130" spans="1:18" x14ac:dyDescent="0.25">
      <c r="A130">
        <f t="shared" si="17"/>
        <v>75</v>
      </c>
      <c r="B130" s="3" t="s">
        <v>61</v>
      </c>
      <c r="C130" t="s">
        <v>8</v>
      </c>
      <c r="D130" s="3">
        <v>223</v>
      </c>
      <c r="E130" t="s">
        <v>4</v>
      </c>
      <c r="F130">
        <v>1</v>
      </c>
      <c r="G130">
        <f t="shared" si="11"/>
        <v>223</v>
      </c>
      <c r="H130">
        <f t="shared" si="18"/>
        <v>3</v>
      </c>
      <c r="I130">
        <f t="shared" si="19"/>
        <v>0</v>
      </c>
      <c r="J130" t="str">
        <f t="shared" si="14"/>
        <v>2001H=1</v>
      </c>
      <c r="R130" t="str">
        <f t="shared" si="16"/>
        <v>{idk:75, rincian:'Rincian 223', kondisi: '&gt;0', fatal:1},</v>
      </c>
    </row>
    <row r="131" spans="1:18" x14ac:dyDescent="0.25">
      <c r="A131">
        <f t="shared" ref="A131:A166" si="20">VLOOKUP(CONCATENATE(B131,C131),$K$2:$L$155,2,FALSE)</f>
        <v>75</v>
      </c>
      <c r="B131" s="3" t="s">
        <v>61</v>
      </c>
      <c r="C131" t="s">
        <v>8</v>
      </c>
      <c r="D131" s="3">
        <v>309</v>
      </c>
      <c r="E131" t="s">
        <v>4</v>
      </c>
      <c r="F131">
        <v>1</v>
      </c>
      <c r="G131">
        <f t="shared" ref="G131:G163" si="21">IF(AND((H131&lt;=3),(I131=0)),D131,"")</f>
        <v>309</v>
      </c>
      <c r="H131">
        <f t="shared" ref="H131:H166" si="22">LEN(D131)</f>
        <v>3</v>
      </c>
      <c r="I131">
        <f t="shared" ref="I131:I166" si="23">IF(LEFT(D131,1)="V",1,0)</f>
        <v>0</v>
      </c>
      <c r="J131" t="str">
        <f t="shared" si="14"/>
        <v>2001H=1</v>
      </c>
      <c r="R131" t="str">
        <f t="shared" si="16"/>
        <v>{idk:75, rincian:'Rincian 309', kondisi: '&gt;0', fatal:1},</v>
      </c>
    </row>
    <row r="132" spans="1:18" x14ac:dyDescent="0.25">
      <c r="A132">
        <f t="shared" si="20"/>
        <v>75</v>
      </c>
      <c r="B132" s="3" t="s">
        <v>61</v>
      </c>
      <c r="C132" t="s">
        <v>8</v>
      </c>
      <c r="D132" s="3" t="s">
        <v>117</v>
      </c>
      <c r="E132" t="s">
        <v>4</v>
      </c>
      <c r="F132">
        <v>2</v>
      </c>
      <c r="G132">
        <v>274</v>
      </c>
      <c r="H132">
        <f t="shared" si="22"/>
        <v>7</v>
      </c>
      <c r="I132">
        <f t="shared" si="23"/>
        <v>0</v>
      </c>
      <c r="J132" t="str">
        <f t="shared" ref="J132:J166" si="24">CONCATENATE(B132,C132)</f>
        <v>2001H=1</v>
      </c>
      <c r="R132" t="str">
        <f t="shared" ref="R132:R155" si="25">CONCATENATE("{idk:",A132,", rincian:'Rincian ",D132,"', kondisi: '",E132,"', fatal:",F132,"},")</f>
        <v>{idk:75, rincian:'Rincian 274+313', kondisi: '&gt;0', fatal:2},</v>
      </c>
    </row>
    <row r="133" spans="1:18" x14ac:dyDescent="0.25">
      <c r="A133">
        <f t="shared" si="20"/>
        <v>76</v>
      </c>
      <c r="B133" s="3" t="s">
        <v>62</v>
      </c>
      <c r="C133" t="s">
        <v>8</v>
      </c>
      <c r="D133" s="3" t="s">
        <v>63</v>
      </c>
      <c r="E133" t="s">
        <v>4</v>
      </c>
      <c r="F133">
        <v>1</v>
      </c>
      <c r="G133">
        <v>215</v>
      </c>
      <c r="H133">
        <f t="shared" si="22"/>
        <v>7</v>
      </c>
      <c r="I133">
        <f t="shared" si="23"/>
        <v>0</v>
      </c>
      <c r="J133" t="str">
        <f t="shared" si="24"/>
        <v>2001J=1</v>
      </c>
      <c r="R133" t="str">
        <f t="shared" si="25"/>
        <v>{idk:76, rincian:'Rincian 215+217', kondisi: '&gt;0', fatal:1},</v>
      </c>
    </row>
    <row r="134" spans="1:18" x14ac:dyDescent="0.25">
      <c r="A134">
        <f t="shared" si="20"/>
        <v>76</v>
      </c>
      <c r="B134" s="3" t="s">
        <v>62</v>
      </c>
      <c r="C134" s="1" t="s">
        <v>8</v>
      </c>
      <c r="D134" s="3" t="s">
        <v>64</v>
      </c>
      <c r="E134" t="s">
        <v>4</v>
      </c>
      <c r="F134">
        <v>1</v>
      </c>
      <c r="G134">
        <v>216</v>
      </c>
      <c r="H134">
        <f t="shared" si="22"/>
        <v>7</v>
      </c>
      <c r="I134">
        <f t="shared" si="23"/>
        <v>0</v>
      </c>
      <c r="J134" t="str">
        <f t="shared" si="24"/>
        <v>2001J=1</v>
      </c>
      <c r="R134" t="str">
        <f t="shared" si="25"/>
        <v>{idk:76, rincian:'Rincian 216+218', kondisi: '&gt;0', fatal:1},</v>
      </c>
    </row>
    <row r="135" spans="1:18" x14ac:dyDescent="0.25">
      <c r="A135">
        <f t="shared" si="20"/>
        <v>76</v>
      </c>
      <c r="B135" s="3" t="s">
        <v>62</v>
      </c>
      <c r="C135" s="1" t="s">
        <v>8</v>
      </c>
      <c r="D135" s="3">
        <v>221</v>
      </c>
      <c r="E135" t="s">
        <v>4</v>
      </c>
      <c r="F135">
        <v>2</v>
      </c>
      <c r="G135">
        <f t="shared" si="21"/>
        <v>221</v>
      </c>
      <c r="H135">
        <f t="shared" si="22"/>
        <v>3</v>
      </c>
      <c r="I135">
        <f t="shared" si="23"/>
        <v>0</v>
      </c>
      <c r="J135" t="str">
        <f t="shared" si="24"/>
        <v>2001J=1</v>
      </c>
      <c r="R135" t="str">
        <f t="shared" si="25"/>
        <v>{idk:76, rincian:'Rincian 221', kondisi: '&gt;0', fatal:2},</v>
      </c>
    </row>
    <row r="136" spans="1:18" x14ac:dyDescent="0.25">
      <c r="A136">
        <f t="shared" si="20"/>
        <v>76</v>
      </c>
      <c r="B136" s="3" t="s">
        <v>62</v>
      </c>
      <c r="C136" s="1" t="s">
        <v>8</v>
      </c>
      <c r="D136" s="3">
        <v>222</v>
      </c>
      <c r="E136" t="s">
        <v>4</v>
      </c>
      <c r="F136">
        <v>2</v>
      </c>
      <c r="G136">
        <f t="shared" si="21"/>
        <v>222</v>
      </c>
      <c r="H136">
        <f t="shared" si="22"/>
        <v>3</v>
      </c>
      <c r="I136">
        <f t="shared" si="23"/>
        <v>0</v>
      </c>
      <c r="J136" t="str">
        <f t="shared" si="24"/>
        <v>2001J=1</v>
      </c>
      <c r="R136" t="str">
        <f t="shared" si="25"/>
        <v>{idk:76, rincian:'Rincian 222', kondisi: '&gt;0', fatal:2},</v>
      </c>
    </row>
    <row r="137" spans="1:18" x14ac:dyDescent="0.25">
      <c r="A137">
        <f t="shared" si="20"/>
        <v>76</v>
      </c>
      <c r="B137" s="3" t="s">
        <v>62</v>
      </c>
      <c r="C137" s="1" t="s">
        <v>8</v>
      </c>
      <c r="D137" s="3">
        <v>223</v>
      </c>
      <c r="E137" t="s">
        <v>4</v>
      </c>
      <c r="F137">
        <v>2</v>
      </c>
      <c r="G137">
        <f t="shared" si="21"/>
        <v>223</v>
      </c>
      <c r="H137">
        <f t="shared" si="22"/>
        <v>3</v>
      </c>
      <c r="I137">
        <f t="shared" si="23"/>
        <v>0</v>
      </c>
      <c r="J137" t="str">
        <f t="shared" si="24"/>
        <v>2001J=1</v>
      </c>
      <c r="R137" t="str">
        <f t="shared" si="25"/>
        <v>{idk:76, rincian:'Rincian 223', kondisi: '&gt;0', fatal:2},</v>
      </c>
    </row>
    <row r="138" spans="1:18" x14ac:dyDescent="0.25">
      <c r="A138">
        <f t="shared" si="20"/>
        <v>77</v>
      </c>
      <c r="B138" s="3" t="s">
        <v>65</v>
      </c>
      <c r="C138" s="1" t="s">
        <v>8</v>
      </c>
      <c r="D138" s="3" t="s">
        <v>63</v>
      </c>
      <c r="E138" t="s">
        <v>4</v>
      </c>
      <c r="F138">
        <v>1</v>
      </c>
      <c r="G138">
        <v>215</v>
      </c>
      <c r="H138">
        <f t="shared" si="22"/>
        <v>7</v>
      </c>
      <c r="I138">
        <f t="shared" si="23"/>
        <v>0</v>
      </c>
      <c r="J138" t="str">
        <f t="shared" si="24"/>
        <v>2001K=1</v>
      </c>
      <c r="R138" t="str">
        <f t="shared" si="25"/>
        <v>{idk:77, rincian:'Rincian 215+217', kondisi: '&gt;0', fatal:1},</v>
      </c>
    </row>
    <row r="139" spans="1:18" x14ac:dyDescent="0.25">
      <c r="A139">
        <f t="shared" si="20"/>
        <v>77</v>
      </c>
      <c r="B139" s="3" t="s">
        <v>65</v>
      </c>
      <c r="C139" s="1" t="s">
        <v>8</v>
      </c>
      <c r="D139" s="3" t="s">
        <v>64</v>
      </c>
      <c r="E139" t="s">
        <v>4</v>
      </c>
      <c r="F139">
        <v>1</v>
      </c>
      <c r="G139">
        <v>216</v>
      </c>
      <c r="H139">
        <f t="shared" si="22"/>
        <v>7</v>
      </c>
      <c r="I139">
        <f t="shared" si="23"/>
        <v>0</v>
      </c>
      <c r="J139" t="str">
        <f t="shared" si="24"/>
        <v>2001K=1</v>
      </c>
      <c r="R139" t="str">
        <f t="shared" si="25"/>
        <v>{idk:77, rincian:'Rincian 216+218', kondisi: '&gt;0', fatal:1},</v>
      </c>
    </row>
    <row r="140" spans="1:18" x14ac:dyDescent="0.25">
      <c r="A140">
        <f t="shared" si="20"/>
        <v>77</v>
      </c>
      <c r="B140" s="3" t="s">
        <v>65</v>
      </c>
      <c r="C140" s="1" t="s">
        <v>8</v>
      </c>
      <c r="D140" s="3">
        <v>221</v>
      </c>
      <c r="E140" t="s">
        <v>4</v>
      </c>
      <c r="F140">
        <v>1</v>
      </c>
      <c r="G140">
        <f t="shared" si="21"/>
        <v>221</v>
      </c>
      <c r="H140">
        <f t="shared" si="22"/>
        <v>3</v>
      </c>
      <c r="I140">
        <f t="shared" si="23"/>
        <v>0</v>
      </c>
      <c r="J140" t="str">
        <f t="shared" si="24"/>
        <v>2001K=1</v>
      </c>
      <c r="R140" t="str">
        <f t="shared" si="25"/>
        <v>{idk:77, rincian:'Rincian 221', kondisi: '&gt;0', fatal:1},</v>
      </c>
    </row>
    <row r="141" spans="1:18" x14ac:dyDescent="0.25">
      <c r="A141">
        <f t="shared" si="20"/>
        <v>77</v>
      </c>
      <c r="B141" s="3" t="s">
        <v>65</v>
      </c>
      <c r="C141" s="1" t="s">
        <v>8</v>
      </c>
      <c r="D141" s="3">
        <v>222</v>
      </c>
      <c r="E141" t="s">
        <v>4</v>
      </c>
      <c r="F141">
        <v>1</v>
      </c>
      <c r="G141">
        <f t="shared" si="21"/>
        <v>222</v>
      </c>
      <c r="H141">
        <f t="shared" si="22"/>
        <v>3</v>
      </c>
      <c r="I141">
        <f t="shared" si="23"/>
        <v>0</v>
      </c>
      <c r="J141" t="str">
        <f t="shared" si="24"/>
        <v>2001K=1</v>
      </c>
      <c r="R141" t="str">
        <f t="shared" si="25"/>
        <v>{idk:77, rincian:'Rincian 222', kondisi: '&gt;0', fatal:1},</v>
      </c>
    </row>
    <row r="142" spans="1:18" x14ac:dyDescent="0.25">
      <c r="A142">
        <f t="shared" si="20"/>
        <v>77</v>
      </c>
      <c r="B142" s="3" t="s">
        <v>65</v>
      </c>
      <c r="C142" s="1" t="s">
        <v>8</v>
      </c>
      <c r="D142" s="4">
        <v>223</v>
      </c>
      <c r="E142" t="s">
        <v>4</v>
      </c>
      <c r="F142">
        <v>1</v>
      </c>
      <c r="G142">
        <f t="shared" si="21"/>
        <v>223</v>
      </c>
      <c r="H142">
        <f t="shared" si="22"/>
        <v>3</v>
      </c>
      <c r="I142">
        <f t="shared" si="23"/>
        <v>0</v>
      </c>
      <c r="J142" t="str">
        <f t="shared" si="24"/>
        <v>2001K=1</v>
      </c>
      <c r="R142" t="str">
        <f t="shared" si="25"/>
        <v>{idk:77, rincian:'Rincian 223', kondisi: '&gt;0', fatal:1},</v>
      </c>
    </row>
    <row r="143" spans="1:18" x14ac:dyDescent="0.25">
      <c r="A143">
        <f t="shared" si="20"/>
        <v>77</v>
      </c>
      <c r="B143" s="3" t="s">
        <v>65</v>
      </c>
      <c r="C143" s="1" t="s">
        <v>8</v>
      </c>
      <c r="D143" s="4">
        <v>309</v>
      </c>
      <c r="E143" t="s">
        <v>4</v>
      </c>
      <c r="F143">
        <v>1</v>
      </c>
      <c r="G143">
        <f t="shared" si="21"/>
        <v>309</v>
      </c>
      <c r="H143">
        <f t="shared" si="22"/>
        <v>3</v>
      </c>
      <c r="I143">
        <f t="shared" si="23"/>
        <v>0</v>
      </c>
      <c r="J143" t="str">
        <f t="shared" si="24"/>
        <v>2001K=1</v>
      </c>
      <c r="R143" t="str">
        <f t="shared" si="25"/>
        <v>{idk:77, rincian:'Rincian 309', kondisi: '&gt;0', fatal:1},</v>
      </c>
    </row>
    <row r="144" spans="1:18" x14ac:dyDescent="0.25">
      <c r="A144">
        <f t="shared" si="20"/>
        <v>77</v>
      </c>
      <c r="B144" s="3" t="s">
        <v>65</v>
      </c>
      <c r="C144" s="1" t="s">
        <v>8</v>
      </c>
      <c r="D144" s="4" t="s">
        <v>117</v>
      </c>
      <c r="E144" t="s">
        <v>4</v>
      </c>
      <c r="F144">
        <v>2</v>
      </c>
      <c r="G144">
        <v>274</v>
      </c>
      <c r="H144">
        <f t="shared" si="22"/>
        <v>7</v>
      </c>
      <c r="I144">
        <f t="shared" si="23"/>
        <v>0</v>
      </c>
      <c r="J144" t="str">
        <f t="shared" si="24"/>
        <v>2001K=1</v>
      </c>
      <c r="R144" t="str">
        <f t="shared" si="25"/>
        <v>{idk:77, rincian:'Rincian 274+313', kondisi: '&gt;0', fatal:2},</v>
      </c>
    </row>
    <row r="145" spans="1:18" x14ac:dyDescent="0.25">
      <c r="A145">
        <f t="shared" si="20"/>
        <v>78</v>
      </c>
      <c r="B145" s="3" t="s">
        <v>66</v>
      </c>
      <c r="C145" s="1" t="s">
        <v>8</v>
      </c>
      <c r="D145" s="4">
        <v>308</v>
      </c>
      <c r="E145" t="s">
        <v>4</v>
      </c>
      <c r="F145">
        <v>1</v>
      </c>
      <c r="G145">
        <f t="shared" si="21"/>
        <v>308</v>
      </c>
      <c r="H145">
        <f t="shared" si="22"/>
        <v>3</v>
      </c>
      <c r="I145">
        <f t="shared" si="23"/>
        <v>0</v>
      </c>
      <c r="J145" t="str">
        <f t="shared" si="24"/>
        <v>2001M=1</v>
      </c>
      <c r="R145" t="str">
        <f t="shared" si="25"/>
        <v>{idk:78, rincian:'Rincian 308', kondisi: '&gt;0', fatal:1},</v>
      </c>
    </row>
    <row r="146" spans="1:18" x14ac:dyDescent="0.25">
      <c r="A146">
        <f t="shared" si="20"/>
        <v>79</v>
      </c>
      <c r="B146" s="3" t="s">
        <v>67</v>
      </c>
      <c r="C146" s="1" t="s">
        <v>7</v>
      </c>
      <c r="D146" s="4" t="s">
        <v>118</v>
      </c>
      <c r="E146" t="s">
        <v>4</v>
      </c>
      <c r="F146">
        <v>1</v>
      </c>
      <c r="G146">
        <v>999</v>
      </c>
      <c r="H146">
        <f t="shared" si="22"/>
        <v>33</v>
      </c>
      <c r="I146">
        <f t="shared" si="23"/>
        <v>1</v>
      </c>
      <c r="J146" t="str">
        <f t="shared" si="24"/>
        <v>2101A=2</v>
      </c>
      <c r="R146" t="str">
        <f t="shared" si="25"/>
        <v>{idk:79, rincian:'Rincian VE jumlah kol 2 + VE jumlah kol 3', kondisi: '&gt;0', fatal:1},</v>
      </c>
    </row>
    <row r="147" spans="1:18" x14ac:dyDescent="0.25">
      <c r="A147">
        <f t="shared" si="20"/>
        <v>80</v>
      </c>
      <c r="B147" s="3" t="s">
        <v>67</v>
      </c>
      <c r="C147" s="1" t="s">
        <v>41</v>
      </c>
      <c r="D147" s="4" t="s">
        <v>68</v>
      </c>
      <c r="E147" t="s">
        <v>4</v>
      </c>
      <c r="F147">
        <v>1</v>
      </c>
      <c r="G147">
        <v>999</v>
      </c>
      <c r="H147">
        <f t="shared" si="22"/>
        <v>15</v>
      </c>
      <c r="I147">
        <f t="shared" si="23"/>
        <v>1</v>
      </c>
      <c r="J147" t="str">
        <f t="shared" si="24"/>
        <v>2101A=3</v>
      </c>
      <c r="R147" t="str">
        <f t="shared" si="25"/>
        <v>{idk:80, rincian:'Rincian VD jumlah kol 2', kondisi: '&gt;0', fatal:1},</v>
      </c>
    </row>
    <row r="148" spans="1:18" x14ac:dyDescent="0.25">
      <c r="A148">
        <f t="shared" si="20"/>
        <v>81</v>
      </c>
      <c r="B148" s="3" t="s">
        <v>67</v>
      </c>
      <c r="C148" s="1" t="s">
        <v>43</v>
      </c>
      <c r="D148" s="4" t="s">
        <v>69</v>
      </c>
      <c r="E148" t="s">
        <v>4</v>
      </c>
      <c r="F148">
        <v>1</v>
      </c>
      <c r="G148">
        <v>999</v>
      </c>
      <c r="H148">
        <f t="shared" si="22"/>
        <v>11</v>
      </c>
      <c r="I148">
        <f t="shared" si="23"/>
        <v>1</v>
      </c>
      <c r="J148" t="str">
        <f t="shared" si="24"/>
        <v>2101A=4</v>
      </c>
      <c r="R148" t="str">
        <f t="shared" si="25"/>
        <v>{idk:81, rincian:'Rincian VE 1a kol 2', kondisi: '&gt;0', fatal:1},</v>
      </c>
    </row>
    <row r="149" spans="1:18" x14ac:dyDescent="0.25">
      <c r="A149">
        <f t="shared" si="20"/>
        <v>82</v>
      </c>
      <c r="B149" s="3" t="s">
        <v>70</v>
      </c>
      <c r="C149" s="1" t="s">
        <v>10</v>
      </c>
      <c r="D149" s="4" t="s">
        <v>106</v>
      </c>
      <c r="E149" t="s">
        <v>4</v>
      </c>
      <c r="F149">
        <v>1</v>
      </c>
      <c r="G149">
        <v>999</v>
      </c>
      <c r="H149">
        <f t="shared" si="22"/>
        <v>23</v>
      </c>
      <c r="I149">
        <f t="shared" si="23"/>
        <v>1</v>
      </c>
      <c r="J149" t="str">
        <f t="shared" si="24"/>
        <v>2101C=1,2,3</v>
      </c>
      <c r="R149" t="str">
        <f t="shared" si="25"/>
        <v>{idk:82, rincian:'Rincian VE 3 kol 2 + VE 3 kol 3', kondisi: '&gt;0', fatal:1},</v>
      </c>
    </row>
    <row r="150" spans="1:18" x14ac:dyDescent="0.25">
      <c r="A150">
        <f t="shared" si="20"/>
        <v>83</v>
      </c>
      <c r="B150" s="3" t="s">
        <v>71</v>
      </c>
      <c r="C150" s="1" t="s">
        <v>8</v>
      </c>
      <c r="D150" s="4">
        <v>312</v>
      </c>
      <c r="E150" t="s">
        <v>4</v>
      </c>
      <c r="F150">
        <v>1</v>
      </c>
      <c r="G150">
        <f t="shared" si="21"/>
        <v>312</v>
      </c>
      <c r="H150">
        <f t="shared" si="22"/>
        <v>3</v>
      </c>
      <c r="I150">
        <f t="shared" si="23"/>
        <v>0</v>
      </c>
      <c r="J150" t="str">
        <f t="shared" si="24"/>
        <v>2201C=1</v>
      </c>
      <c r="R150" t="str">
        <f t="shared" si="25"/>
        <v>{idk:83, rincian:'Rincian 312', kondisi: '&gt;0', fatal:1},</v>
      </c>
    </row>
    <row r="151" spans="1:18" x14ac:dyDescent="0.25">
      <c r="A151">
        <f t="shared" si="20"/>
        <v>84</v>
      </c>
      <c r="B151" s="3" t="s">
        <v>119</v>
      </c>
      <c r="C151" s="1" t="s">
        <v>8</v>
      </c>
      <c r="D151" s="4">
        <v>312</v>
      </c>
      <c r="E151" t="s">
        <v>4</v>
      </c>
      <c r="F151">
        <v>1</v>
      </c>
      <c r="G151">
        <f t="shared" si="21"/>
        <v>312</v>
      </c>
      <c r="H151">
        <f t="shared" si="22"/>
        <v>3</v>
      </c>
      <c r="I151">
        <f t="shared" si="23"/>
        <v>0</v>
      </c>
      <c r="J151" t="str">
        <f t="shared" si="24"/>
        <v>2201D=1</v>
      </c>
      <c r="R151" t="str">
        <f t="shared" si="25"/>
        <v>{idk:84, rincian:'Rincian 312', kondisi: '&gt;0', fatal:1},</v>
      </c>
    </row>
    <row r="152" spans="1:18" x14ac:dyDescent="0.25">
      <c r="A152">
        <f t="shared" si="20"/>
        <v>85</v>
      </c>
      <c r="B152" s="3">
        <v>2202</v>
      </c>
      <c r="C152" t="s">
        <v>6</v>
      </c>
      <c r="D152" s="3" t="s">
        <v>72</v>
      </c>
      <c r="E152" t="s">
        <v>4</v>
      </c>
      <c r="F152">
        <v>1</v>
      </c>
      <c r="G152">
        <v>999</v>
      </c>
      <c r="H152">
        <f t="shared" si="22"/>
        <v>24</v>
      </c>
      <c r="I152">
        <f t="shared" si="23"/>
        <v>1</v>
      </c>
      <c r="J152" t="str">
        <f t="shared" si="24"/>
        <v>2202=1,2</v>
      </c>
      <c r="R152" t="str">
        <f t="shared" si="25"/>
        <v>{idk:85, rincian:'Rincian VE 1b kol 2 +VE 1b kol 3', kondisi: '&gt;0', fatal:1},</v>
      </c>
    </row>
    <row r="153" spans="1:18" x14ac:dyDescent="0.25">
      <c r="A153">
        <f t="shared" si="20"/>
        <v>86</v>
      </c>
      <c r="B153" s="3">
        <v>2203</v>
      </c>
      <c r="C153" t="s">
        <v>8</v>
      </c>
      <c r="D153" s="3" t="s">
        <v>9</v>
      </c>
      <c r="E153" t="s">
        <v>4</v>
      </c>
      <c r="F153">
        <v>1</v>
      </c>
      <c r="G153">
        <v>999</v>
      </c>
      <c r="H153">
        <f t="shared" si="22"/>
        <v>11</v>
      </c>
      <c r="I153">
        <f t="shared" si="23"/>
        <v>1</v>
      </c>
      <c r="J153" t="str">
        <f t="shared" si="24"/>
        <v>2203=1</v>
      </c>
      <c r="R153" t="str">
        <f t="shared" si="25"/>
        <v>{idk:86, rincian:'Rincian VE 1b kol 2', kondisi: '&gt;0', fatal:1},</v>
      </c>
    </row>
    <row r="154" spans="1:18" x14ac:dyDescent="0.25">
      <c r="A154">
        <f t="shared" si="20"/>
        <v>87</v>
      </c>
      <c r="B154" s="3" t="s">
        <v>73</v>
      </c>
      <c r="C154" s="1" t="s">
        <v>8</v>
      </c>
      <c r="D154" s="3" t="s">
        <v>9</v>
      </c>
      <c r="E154" t="s">
        <v>4</v>
      </c>
      <c r="F154">
        <v>1</v>
      </c>
      <c r="G154">
        <v>999</v>
      </c>
      <c r="H154">
        <f t="shared" si="22"/>
        <v>11</v>
      </c>
      <c r="I154">
        <f t="shared" si="23"/>
        <v>1</v>
      </c>
      <c r="J154" t="str">
        <f t="shared" si="24"/>
        <v>2205A=1</v>
      </c>
      <c r="R154" t="str">
        <f t="shared" si="25"/>
        <v>{idk:87, rincian:'Rincian VE 1b kol 2', kondisi: '&gt;0', fatal:1},</v>
      </c>
    </row>
    <row r="155" spans="1:18" x14ac:dyDescent="0.25">
      <c r="A155">
        <f t="shared" si="20"/>
        <v>88</v>
      </c>
      <c r="B155" s="3" t="s">
        <v>74</v>
      </c>
      <c r="C155" s="1" t="s">
        <v>8</v>
      </c>
      <c r="D155" s="3" t="s">
        <v>9</v>
      </c>
      <c r="E155" t="s">
        <v>4</v>
      </c>
      <c r="F155">
        <v>1</v>
      </c>
      <c r="G155">
        <v>999</v>
      </c>
      <c r="H155">
        <f t="shared" si="22"/>
        <v>11</v>
      </c>
      <c r="I155">
        <f t="shared" si="23"/>
        <v>1</v>
      </c>
      <c r="J155" t="str">
        <f t="shared" si="24"/>
        <v>2205B=1</v>
      </c>
      <c r="R155" t="str">
        <f t="shared" si="25"/>
        <v>{idk:88, rincian:'Rincian VE 1b kol 2', kondisi: '&gt;0', fatal:1},</v>
      </c>
    </row>
    <row r="156" spans="1:18" x14ac:dyDescent="0.25">
      <c r="A156">
        <f t="shared" si="20"/>
        <v>89</v>
      </c>
      <c r="B156" s="3">
        <v>2206</v>
      </c>
      <c r="C156" t="s">
        <v>8</v>
      </c>
      <c r="D156" s="3" t="s">
        <v>9</v>
      </c>
      <c r="E156" t="s">
        <v>4</v>
      </c>
      <c r="F156">
        <v>1</v>
      </c>
      <c r="G156">
        <v>999</v>
      </c>
      <c r="H156">
        <f t="shared" si="22"/>
        <v>11</v>
      </c>
      <c r="I156">
        <f t="shared" si="23"/>
        <v>1</v>
      </c>
      <c r="J156" t="str">
        <f t="shared" si="24"/>
        <v>2206=1</v>
      </c>
    </row>
    <row r="157" spans="1:18" x14ac:dyDescent="0.25">
      <c r="A157">
        <f t="shared" si="20"/>
        <v>90</v>
      </c>
      <c r="B157" s="3">
        <v>2207</v>
      </c>
      <c r="C157" t="s">
        <v>8</v>
      </c>
      <c r="D157" s="3" t="s">
        <v>9</v>
      </c>
      <c r="E157" t="s">
        <v>4</v>
      </c>
      <c r="F157">
        <v>1</v>
      </c>
      <c r="G157">
        <v>999</v>
      </c>
      <c r="H157">
        <f t="shared" si="22"/>
        <v>11</v>
      </c>
      <c r="I157">
        <f t="shared" si="23"/>
        <v>1</v>
      </c>
      <c r="J157" t="str">
        <f t="shared" si="24"/>
        <v>2207=1</v>
      </c>
    </row>
    <row r="158" spans="1:18" x14ac:dyDescent="0.25">
      <c r="A158">
        <f t="shared" si="20"/>
        <v>91</v>
      </c>
      <c r="B158" s="3" t="s">
        <v>75</v>
      </c>
      <c r="C158" t="s">
        <v>8</v>
      </c>
      <c r="D158" s="3" t="s">
        <v>9</v>
      </c>
      <c r="E158" t="s">
        <v>4</v>
      </c>
      <c r="F158">
        <v>1</v>
      </c>
      <c r="G158">
        <v>999</v>
      </c>
      <c r="H158">
        <f t="shared" si="22"/>
        <v>11</v>
      </c>
      <c r="I158">
        <f t="shared" si="23"/>
        <v>1</v>
      </c>
      <c r="J158" t="str">
        <f t="shared" si="24"/>
        <v>2209A=1</v>
      </c>
    </row>
    <row r="159" spans="1:18" x14ac:dyDescent="0.25">
      <c r="A159">
        <f t="shared" si="20"/>
        <v>92</v>
      </c>
      <c r="B159" s="3" t="s">
        <v>76</v>
      </c>
      <c r="C159" t="s">
        <v>8</v>
      </c>
      <c r="D159" s="3" t="s">
        <v>9</v>
      </c>
      <c r="E159" t="s">
        <v>4</v>
      </c>
      <c r="F159">
        <v>1</v>
      </c>
      <c r="G159">
        <v>999</v>
      </c>
      <c r="H159">
        <f t="shared" si="22"/>
        <v>11</v>
      </c>
      <c r="I159">
        <f t="shared" si="23"/>
        <v>1</v>
      </c>
      <c r="J159" t="str">
        <f t="shared" si="24"/>
        <v>2209B=1</v>
      </c>
    </row>
    <row r="160" spans="1:18" x14ac:dyDescent="0.25">
      <c r="A160">
        <f t="shared" si="20"/>
        <v>93</v>
      </c>
      <c r="B160" s="3" t="s">
        <v>77</v>
      </c>
      <c r="C160" t="s">
        <v>8</v>
      </c>
      <c r="D160" s="3" t="s">
        <v>15</v>
      </c>
      <c r="E160" t="s">
        <v>4</v>
      </c>
      <c r="F160">
        <v>1</v>
      </c>
      <c r="G160">
        <v>999</v>
      </c>
      <c r="H160">
        <f t="shared" si="22"/>
        <v>11</v>
      </c>
      <c r="I160">
        <f t="shared" si="23"/>
        <v>1</v>
      </c>
      <c r="J160" t="str">
        <f t="shared" si="24"/>
        <v>2209C=1</v>
      </c>
    </row>
    <row r="161" spans="1:10" x14ac:dyDescent="0.25">
      <c r="A161">
        <f t="shared" si="20"/>
        <v>94</v>
      </c>
      <c r="B161" s="3" t="s">
        <v>78</v>
      </c>
      <c r="C161" t="s">
        <v>8</v>
      </c>
      <c r="D161" s="3" t="s">
        <v>15</v>
      </c>
      <c r="E161" t="s">
        <v>4</v>
      </c>
      <c r="F161">
        <v>1</v>
      </c>
      <c r="G161">
        <v>999</v>
      </c>
      <c r="H161">
        <f t="shared" si="22"/>
        <v>11</v>
      </c>
      <c r="I161">
        <f t="shared" si="23"/>
        <v>1</v>
      </c>
      <c r="J161" t="str">
        <f t="shared" si="24"/>
        <v>2209D=1</v>
      </c>
    </row>
    <row r="162" spans="1:10" x14ac:dyDescent="0.25">
      <c r="A162">
        <f t="shared" si="20"/>
        <v>95</v>
      </c>
      <c r="B162" s="3" t="s">
        <v>79</v>
      </c>
      <c r="C162" t="s">
        <v>8</v>
      </c>
      <c r="D162" s="3" t="s">
        <v>9</v>
      </c>
      <c r="E162" t="s">
        <v>4</v>
      </c>
      <c r="F162">
        <v>1</v>
      </c>
      <c r="G162">
        <v>999</v>
      </c>
      <c r="H162">
        <f t="shared" si="22"/>
        <v>11</v>
      </c>
      <c r="I162">
        <f t="shared" si="23"/>
        <v>1</v>
      </c>
      <c r="J162" t="str">
        <f t="shared" si="24"/>
        <v>2210B=1</v>
      </c>
    </row>
    <row r="163" spans="1:10" x14ac:dyDescent="0.25">
      <c r="A163">
        <f t="shared" si="20"/>
        <v>95</v>
      </c>
      <c r="B163" s="3" t="s">
        <v>79</v>
      </c>
      <c r="C163" t="s">
        <v>8</v>
      </c>
      <c r="D163" s="3">
        <v>278</v>
      </c>
      <c r="E163" t="s">
        <v>4</v>
      </c>
      <c r="F163">
        <v>1</v>
      </c>
      <c r="G163">
        <f t="shared" si="21"/>
        <v>278</v>
      </c>
      <c r="H163">
        <f t="shared" si="22"/>
        <v>3</v>
      </c>
      <c r="I163">
        <f t="shared" si="23"/>
        <v>0</v>
      </c>
      <c r="J163" t="str">
        <f t="shared" si="24"/>
        <v>2210B=1</v>
      </c>
    </row>
    <row r="164" spans="1:10" x14ac:dyDescent="0.25">
      <c r="A164">
        <f t="shared" si="20"/>
        <v>95</v>
      </c>
      <c r="B164" s="3" t="s">
        <v>79</v>
      </c>
      <c r="C164" t="s">
        <v>8</v>
      </c>
      <c r="D164" s="3" t="s">
        <v>14</v>
      </c>
      <c r="E164" t="s">
        <v>4</v>
      </c>
      <c r="F164">
        <v>2</v>
      </c>
      <c r="G164">
        <v>999</v>
      </c>
      <c r="H164">
        <f t="shared" si="22"/>
        <v>10</v>
      </c>
      <c r="I164">
        <f t="shared" si="23"/>
        <v>1</v>
      </c>
      <c r="J164" t="str">
        <f t="shared" si="24"/>
        <v>2210B=1</v>
      </c>
    </row>
    <row r="165" spans="1:10" x14ac:dyDescent="0.25">
      <c r="A165">
        <f t="shared" si="20"/>
        <v>96</v>
      </c>
      <c r="B165" s="3" t="s">
        <v>80</v>
      </c>
      <c r="C165" t="s">
        <v>8</v>
      </c>
      <c r="D165" s="3" t="s">
        <v>72</v>
      </c>
      <c r="E165" t="s">
        <v>4</v>
      </c>
      <c r="F165">
        <v>1</v>
      </c>
      <c r="G165">
        <v>999</v>
      </c>
      <c r="H165">
        <f t="shared" si="22"/>
        <v>24</v>
      </c>
      <c r="I165">
        <f t="shared" si="23"/>
        <v>1</v>
      </c>
      <c r="J165" t="str">
        <f t="shared" si="24"/>
        <v>2211A=1</v>
      </c>
    </row>
    <row r="166" spans="1:10" x14ac:dyDescent="0.25">
      <c r="A166">
        <f t="shared" si="20"/>
        <v>97</v>
      </c>
      <c r="B166" s="3" t="s">
        <v>81</v>
      </c>
      <c r="C166" t="s">
        <v>8</v>
      </c>
      <c r="D166" s="3" t="s">
        <v>72</v>
      </c>
      <c r="E166" t="s">
        <v>4</v>
      </c>
      <c r="F166">
        <v>1</v>
      </c>
      <c r="G166">
        <v>999</v>
      </c>
      <c r="H166">
        <f t="shared" si="22"/>
        <v>24</v>
      </c>
      <c r="I166">
        <f t="shared" si="23"/>
        <v>1</v>
      </c>
      <c r="J166" t="str">
        <f t="shared" si="24"/>
        <v>2211B=1</v>
      </c>
    </row>
  </sheetData>
  <mergeCells count="1">
    <mergeCell ref="J1:L1"/>
  </mergeCells>
  <phoneticPr fontId="1" type="noConversion"/>
  <conditionalFormatting sqref="J3:J166">
    <cfRule type="duplicateValues" dxfId="1" priority="1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E1B0-C870-7849-9AFD-C648E26B0BFC}">
  <dimension ref="A1:R166"/>
  <sheetViews>
    <sheetView tabSelected="1" topLeftCell="A91" workbookViewId="0">
      <selection activeCell="D114" sqref="D114"/>
    </sheetView>
  </sheetViews>
  <sheetFormatPr defaultColWidth="11" defaultRowHeight="15.75" x14ac:dyDescent="0.25"/>
  <cols>
    <col min="2" max="2" width="20.125" style="3" customWidth="1"/>
    <col min="3" max="3" width="25.625" customWidth="1"/>
    <col min="4" max="4" width="33.375" style="3" customWidth="1"/>
    <col min="5" max="5" width="21" customWidth="1"/>
    <col min="10" max="10" width="23" customWidth="1"/>
    <col min="11" max="11" width="22.5" customWidth="1"/>
    <col min="14" max="14" width="14.625" customWidth="1"/>
    <col min="16" max="16" width="28.625" customWidth="1"/>
  </cols>
  <sheetData>
    <row r="1" spans="1:18" x14ac:dyDescent="0.25">
      <c r="B1" t="s">
        <v>85</v>
      </c>
      <c r="D1" t="s">
        <v>86</v>
      </c>
      <c r="F1" s="7"/>
      <c r="J1" s="19" t="s">
        <v>92</v>
      </c>
      <c r="K1" s="19"/>
      <c r="L1" s="19"/>
    </row>
    <row r="2" spans="1:18" x14ac:dyDescent="0.25">
      <c r="A2" s="8" t="s">
        <v>93</v>
      </c>
      <c r="B2" s="9" t="s">
        <v>87</v>
      </c>
      <c r="C2" s="8" t="s">
        <v>0</v>
      </c>
      <c r="D2" s="9" t="s">
        <v>87</v>
      </c>
      <c r="E2" s="8" t="s">
        <v>1</v>
      </c>
      <c r="F2" s="10" t="s">
        <v>103</v>
      </c>
      <c r="G2" s="8" t="s">
        <v>98</v>
      </c>
      <c r="H2" s="8" t="s">
        <v>99</v>
      </c>
      <c r="I2" s="8" t="s">
        <v>100</v>
      </c>
      <c r="J2" t="s">
        <v>88</v>
      </c>
      <c r="K2" t="s">
        <v>89</v>
      </c>
      <c r="L2" t="s">
        <v>90</v>
      </c>
      <c r="N2" t="s">
        <v>95</v>
      </c>
      <c r="R2" t="s">
        <v>97</v>
      </c>
    </row>
    <row r="3" spans="1:18" x14ac:dyDescent="0.25">
      <c r="A3" s="8">
        <v>4</v>
      </c>
      <c r="B3" s="9">
        <v>407</v>
      </c>
      <c r="C3" s="8" t="s">
        <v>3</v>
      </c>
      <c r="D3" s="9" t="s">
        <v>29</v>
      </c>
      <c r="E3" s="8" t="s">
        <v>4</v>
      </c>
      <c r="F3" s="8">
        <v>2</v>
      </c>
      <c r="G3" s="8">
        <v>70</v>
      </c>
      <c r="H3" s="8">
        <v>14</v>
      </c>
      <c r="I3" s="8">
        <v>0</v>
      </c>
      <c r="J3" t="str">
        <f>CONCATENATE(B3,C3)</f>
        <v>407&lt;5</v>
      </c>
      <c r="K3" t="str" cm="1">
        <f t="array" ref="K3:K96">_xlfn.UNIQUE(J3:J155)</f>
        <v>407&lt;5</v>
      </c>
      <c r="L3">
        <v>1</v>
      </c>
      <c r="N3" t="str">
        <f>CONCATENATE("{label:'Rincian ",K3,"' , value:",L3,"},")</f>
        <v>{label:'Rincian 407&lt;5' , value:1},</v>
      </c>
      <c r="R3" t="str">
        <f>CONCATENATE("{idk:",A3,", rincian:'Rincian ",D3,"', kondisi: '",E3,"', fatal:",F3,"},")</f>
        <v>{idk:4, rincian:'Rincian 70+71+72+73+74', kondisi: '&gt;0', fatal:2},</v>
      </c>
    </row>
    <row r="4" spans="1:18" x14ac:dyDescent="0.25">
      <c r="A4" s="8">
        <v>4</v>
      </c>
      <c r="B4" s="9">
        <v>407</v>
      </c>
      <c r="C4" s="8" t="s">
        <v>3</v>
      </c>
      <c r="D4" s="9">
        <v>157</v>
      </c>
      <c r="E4" s="8" t="s">
        <v>4</v>
      </c>
      <c r="F4" s="8">
        <v>2</v>
      </c>
      <c r="G4" s="8">
        <v>157</v>
      </c>
      <c r="H4" s="8">
        <v>3</v>
      </c>
      <c r="I4" s="8">
        <v>0</v>
      </c>
      <c r="J4" t="str">
        <f t="shared" ref="J4:J67" si="0">CONCATENATE(B4,C4)</f>
        <v>407&lt;5</v>
      </c>
      <c r="K4" t="str">
        <v>1810A=1</v>
      </c>
      <c r="L4">
        <v>2</v>
      </c>
      <c r="N4" t="str">
        <f t="shared" ref="N4:N67" si="1">CONCATENATE("{label:'Rincian ",K4,"' , value:",L4,"},")</f>
        <v>{label:'Rincian 1810A=1' , value:2},</v>
      </c>
      <c r="R4" t="str">
        <f t="shared" ref="R4:R67" si="2">CONCATENATE("{idk:",A4,", rincian:'Rincian ",D4,"', kondisi: '",E4,"', fatal:",F4,"},")</f>
        <v>{idk:4, rincian:'Rincian 157', kondisi: '&gt;0', fatal:2},</v>
      </c>
    </row>
    <row r="5" spans="1:18" x14ac:dyDescent="0.25">
      <c r="A5" s="8">
        <v>57</v>
      </c>
      <c r="B5" s="9" t="s">
        <v>48</v>
      </c>
      <c r="C5" s="12" t="s">
        <v>8</v>
      </c>
      <c r="D5" s="9" t="s">
        <v>111</v>
      </c>
      <c r="E5" s="8" t="s">
        <v>4</v>
      </c>
      <c r="F5" s="8">
        <v>1</v>
      </c>
      <c r="G5" s="8">
        <v>184</v>
      </c>
      <c r="H5" s="8">
        <v>9</v>
      </c>
      <c r="I5" s="8">
        <v>0</v>
      </c>
      <c r="J5" t="str">
        <f t="shared" si="0"/>
        <v>1810A=1</v>
      </c>
      <c r="K5" t="str">
        <v>1814A=1</v>
      </c>
      <c r="L5">
        <v>3</v>
      </c>
      <c r="N5" t="str">
        <f t="shared" si="1"/>
        <v>{label:'Rincian 1814A=1' , value:3},</v>
      </c>
      <c r="R5" t="str">
        <f t="shared" si="2"/>
        <v>{idk:57, rincian:'Rincian 184 + 185', kondisi: '&gt;0', fatal:1},</v>
      </c>
    </row>
    <row r="6" spans="1:18" x14ac:dyDescent="0.25">
      <c r="A6" s="8">
        <v>59</v>
      </c>
      <c r="B6" s="9" t="s">
        <v>49</v>
      </c>
      <c r="C6" s="12" t="s">
        <v>8</v>
      </c>
      <c r="D6" s="9" t="s">
        <v>112</v>
      </c>
      <c r="E6" s="8" t="s">
        <v>4</v>
      </c>
      <c r="F6" s="8">
        <v>1</v>
      </c>
      <c r="G6" s="8">
        <v>184</v>
      </c>
      <c r="H6" s="8">
        <v>7</v>
      </c>
      <c r="I6" s="8">
        <v>0</v>
      </c>
      <c r="J6" t="str">
        <f>CONCATENATE(B6,C6)</f>
        <v>1814A=1</v>
      </c>
      <c r="K6" t="str">
        <v>1810A=2</v>
      </c>
      <c r="L6">
        <v>4</v>
      </c>
      <c r="N6" t="str">
        <f t="shared" si="1"/>
        <v>{label:'Rincian 1810A=2' , value:4},</v>
      </c>
      <c r="R6" t="str">
        <f t="shared" si="2"/>
        <v>{idk:59, rincian:'Rincian 184+185', kondisi: '&gt;0', fatal:1},</v>
      </c>
    </row>
    <row r="7" spans="1:18" x14ac:dyDescent="0.25">
      <c r="A7" s="8">
        <v>58</v>
      </c>
      <c r="B7" s="9" t="s">
        <v>48</v>
      </c>
      <c r="C7" s="12" t="s">
        <v>7</v>
      </c>
      <c r="D7" s="9">
        <v>185</v>
      </c>
      <c r="E7" s="8" t="s">
        <v>4</v>
      </c>
      <c r="F7" s="8">
        <v>1</v>
      </c>
      <c r="G7" s="8">
        <v>185</v>
      </c>
      <c r="H7" s="8">
        <v>3</v>
      </c>
      <c r="I7" s="8">
        <v>0</v>
      </c>
      <c r="J7" t="str">
        <f t="shared" si="0"/>
        <v>1810A=2</v>
      </c>
      <c r="K7" t="str">
        <v>1814A=2</v>
      </c>
      <c r="L7">
        <v>5</v>
      </c>
      <c r="N7" t="str">
        <f t="shared" si="1"/>
        <v>{label:'Rincian 1814A=2' , value:5},</v>
      </c>
      <c r="R7" t="str">
        <f t="shared" si="2"/>
        <v>{idk:58, rincian:'Rincian 185', kondisi: '&gt;0', fatal:1},</v>
      </c>
    </row>
    <row r="8" spans="1:18" x14ac:dyDescent="0.25">
      <c r="A8" s="8">
        <v>60</v>
      </c>
      <c r="B8" s="9" t="s">
        <v>49</v>
      </c>
      <c r="C8" s="12" t="s">
        <v>7</v>
      </c>
      <c r="D8" s="9">
        <v>185</v>
      </c>
      <c r="E8" s="8" t="s">
        <v>4</v>
      </c>
      <c r="F8" s="8">
        <v>1</v>
      </c>
      <c r="G8" s="8">
        <v>185</v>
      </c>
      <c r="H8" s="8">
        <v>3</v>
      </c>
      <c r="I8" s="8">
        <v>0</v>
      </c>
      <c r="J8" t="str">
        <f t="shared" si="0"/>
        <v>1814A=2</v>
      </c>
      <c r="K8" t="str">
        <v>1206=1,2</v>
      </c>
      <c r="L8">
        <v>6</v>
      </c>
      <c r="N8" t="str">
        <f t="shared" si="1"/>
        <v>{label:'Rincian 1206=1,2' , value:6},</v>
      </c>
      <c r="R8" t="str">
        <f t="shared" si="2"/>
        <v>{idk:60, rincian:'Rincian 185', kondisi: '&gt;0', fatal:1},</v>
      </c>
    </row>
    <row r="9" spans="1:18" x14ac:dyDescent="0.25">
      <c r="A9" s="8">
        <v>40</v>
      </c>
      <c r="B9" s="9">
        <v>1206</v>
      </c>
      <c r="C9" s="12" t="s">
        <v>6</v>
      </c>
      <c r="D9" s="9" t="s">
        <v>27</v>
      </c>
      <c r="E9" s="8" t="s">
        <v>26</v>
      </c>
      <c r="F9" s="8">
        <v>1</v>
      </c>
      <c r="G9" s="8">
        <v>193</v>
      </c>
      <c r="H9" s="8">
        <v>15</v>
      </c>
      <c r="I9" s="8">
        <v>0</v>
      </c>
      <c r="J9" t="str">
        <f t="shared" si="0"/>
        <v>1206=1,2</v>
      </c>
      <c r="K9" t="str">
        <v>1205=1,2</v>
      </c>
      <c r="L9">
        <v>7</v>
      </c>
      <c r="N9" t="str">
        <f t="shared" si="1"/>
        <v>{label:'Rincian 1205=1,2' , value:7},</v>
      </c>
      <c r="R9" t="str">
        <f t="shared" si="2"/>
        <v>{idk:40, rincian:'Rincian 193+194+195+196', kondisi: '&gt;0 (Nama Bersesuaian)', fatal:1},</v>
      </c>
    </row>
    <row r="10" spans="1:18" x14ac:dyDescent="0.25">
      <c r="A10" s="20">
        <v>39</v>
      </c>
      <c r="B10" s="9">
        <v>1205</v>
      </c>
      <c r="C10" s="12" t="s">
        <v>6</v>
      </c>
      <c r="D10" s="9">
        <v>197</v>
      </c>
      <c r="E10" s="8" t="s">
        <v>26</v>
      </c>
      <c r="F10" s="8">
        <v>1</v>
      </c>
      <c r="G10" s="8">
        <v>197</v>
      </c>
      <c r="H10" s="8">
        <v>3</v>
      </c>
      <c r="I10" s="8">
        <v>0</v>
      </c>
      <c r="J10" t="str">
        <f t="shared" si="0"/>
        <v>1205=1,2</v>
      </c>
      <c r="K10" t="str">
        <v>1802=1</v>
      </c>
      <c r="L10">
        <v>8</v>
      </c>
      <c r="N10" t="str">
        <f t="shared" si="1"/>
        <v>{label:'Rincian 1802=1' , value:8},</v>
      </c>
      <c r="R10" t="str">
        <f t="shared" si="2"/>
        <v>{idk:39, rincian:'Rincian 197', kondisi: '&gt;0 (Nama Bersesuaian)', fatal:1},</v>
      </c>
    </row>
    <row r="11" spans="1:18" x14ac:dyDescent="0.25">
      <c r="A11" s="8">
        <v>51</v>
      </c>
      <c r="B11" s="9">
        <v>1802</v>
      </c>
      <c r="C11" s="12" t="s">
        <v>8</v>
      </c>
      <c r="D11" s="9">
        <v>200</v>
      </c>
      <c r="E11" s="8" t="s">
        <v>4</v>
      </c>
      <c r="F11" s="8">
        <v>1</v>
      </c>
      <c r="G11" s="8">
        <v>200</v>
      </c>
      <c r="H11" s="8">
        <v>3</v>
      </c>
      <c r="I11" s="8">
        <v>0</v>
      </c>
      <c r="J11" t="str">
        <f t="shared" si="0"/>
        <v>1802=1</v>
      </c>
      <c r="K11" t="str">
        <v>1802=3</v>
      </c>
      <c r="L11">
        <v>9</v>
      </c>
      <c r="N11" t="str">
        <f t="shared" si="1"/>
        <v>{label:'Rincian 1802=3' , value:9},</v>
      </c>
      <c r="R11" t="str">
        <f t="shared" si="2"/>
        <v>{idk:51, rincian:'Rincian 200', kondisi: '&gt;0', fatal:1},</v>
      </c>
    </row>
    <row r="12" spans="1:18" x14ac:dyDescent="0.25">
      <c r="A12" s="8">
        <v>53</v>
      </c>
      <c r="B12" s="9">
        <v>1802</v>
      </c>
      <c r="C12" s="8" t="s">
        <v>41</v>
      </c>
      <c r="D12" s="9">
        <v>200</v>
      </c>
      <c r="E12" s="8" t="s">
        <v>4</v>
      </c>
      <c r="F12" s="8">
        <v>1</v>
      </c>
      <c r="G12" s="8">
        <v>200</v>
      </c>
      <c r="H12" s="8">
        <v>3</v>
      </c>
      <c r="I12" s="8">
        <v>0</v>
      </c>
      <c r="J12" t="str">
        <f t="shared" si="0"/>
        <v>1802=3</v>
      </c>
      <c r="K12" t="str">
        <v>1802=2</v>
      </c>
      <c r="L12">
        <v>10</v>
      </c>
      <c r="N12" t="str">
        <f t="shared" si="1"/>
        <v>{label:'Rincian 1802=2' , value:10},</v>
      </c>
      <c r="R12" t="str">
        <f t="shared" si="2"/>
        <v>{idk:53, rincian:'Rincian 200', kondisi: '&gt;0', fatal:1},</v>
      </c>
    </row>
    <row r="13" spans="1:18" x14ac:dyDescent="0.25">
      <c r="A13" s="8">
        <v>52</v>
      </c>
      <c r="B13" s="9">
        <v>1802</v>
      </c>
      <c r="C13" s="12" t="s">
        <v>7</v>
      </c>
      <c r="D13" s="9" t="s">
        <v>40</v>
      </c>
      <c r="E13" s="8" t="s">
        <v>4</v>
      </c>
      <c r="F13" s="8">
        <v>1</v>
      </c>
      <c r="G13" s="8">
        <v>201</v>
      </c>
      <c r="H13" s="8">
        <v>7</v>
      </c>
      <c r="I13" s="8">
        <v>0</v>
      </c>
      <c r="J13" t="str">
        <f t="shared" si="0"/>
        <v>1802=2</v>
      </c>
      <c r="K13" t="str">
        <v>1802=4</v>
      </c>
      <c r="L13">
        <v>11</v>
      </c>
      <c r="N13" t="str">
        <f t="shared" si="1"/>
        <v>{label:'Rincian 1802=4' , value:11},</v>
      </c>
      <c r="R13" t="str">
        <f t="shared" si="2"/>
        <v>{idk:52, rincian:'Rincian 201+202', kondisi: '&gt;0', fatal:1},</v>
      </c>
    </row>
    <row r="14" spans="1:18" x14ac:dyDescent="0.25">
      <c r="A14" s="8">
        <v>54</v>
      </c>
      <c r="B14" s="9">
        <v>1802</v>
      </c>
      <c r="C14" s="8" t="s">
        <v>43</v>
      </c>
      <c r="D14" s="9">
        <v>203</v>
      </c>
      <c r="E14" s="8" t="s">
        <v>4</v>
      </c>
      <c r="F14" s="8">
        <v>1</v>
      </c>
      <c r="G14" s="8">
        <v>203</v>
      </c>
      <c r="H14" s="8">
        <v>3</v>
      </c>
      <c r="I14" s="8">
        <v>0</v>
      </c>
      <c r="J14" t="str">
        <f t="shared" si="0"/>
        <v>1802=4</v>
      </c>
      <c r="K14" t="str">
        <v>1802=5</v>
      </c>
      <c r="L14">
        <v>12</v>
      </c>
      <c r="N14" t="str">
        <f t="shared" si="1"/>
        <v>{label:'Rincian 1802=5' , value:12},</v>
      </c>
      <c r="R14" t="str">
        <f t="shared" si="2"/>
        <v>{idk:54, rincian:'Rincian 203', kondisi: '&gt;0', fatal:1},</v>
      </c>
    </row>
    <row r="15" spans="1:18" x14ac:dyDescent="0.25">
      <c r="A15" s="8">
        <v>55</v>
      </c>
      <c r="B15" s="9">
        <v>1802</v>
      </c>
      <c r="C15" s="12" t="s">
        <v>37</v>
      </c>
      <c r="D15" s="9">
        <v>203</v>
      </c>
      <c r="E15" s="8" t="s">
        <v>4</v>
      </c>
      <c r="F15" s="8">
        <v>1</v>
      </c>
      <c r="G15" s="8">
        <v>203</v>
      </c>
      <c r="H15" s="8">
        <v>3</v>
      </c>
      <c r="I15" s="8">
        <v>0</v>
      </c>
      <c r="J15" t="str">
        <f t="shared" si="0"/>
        <v>1802=5</v>
      </c>
      <c r="K15" t="str">
        <v>1816A=1,2</v>
      </c>
      <c r="L15">
        <v>13</v>
      </c>
      <c r="N15" t="str">
        <f t="shared" si="1"/>
        <v>{label:'Rincian 1816A=1,2' , value:13},</v>
      </c>
      <c r="R15" t="str">
        <f t="shared" si="2"/>
        <v>{idk:55, rincian:'Rincian 203', kondisi: '&gt;0', fatal:1},</v>
      </c>
    </row>
    <row r="16" spans="1:18" x14ac:dyDescent="0.25">
      <c r="A16" s="8">
        <v>61</v>
      </c>
      <c r="B16" s="9" t="s">
        <v>50</v>
      </c>
      <c r="C16" s="8" t="s">
        <v>6</v>
      </c>
      <c r="D16" s="9">
        <v>205</v>
      </c>
      <c r="E16" s="8" t="s">
        <v>4</v>
      </c>
      <c r="F16" s="11">
        <v>1</v>
      </c>
      <c r="G16" s="8">
        <v>205</v>
      </c>
      <c r="H16" s="8">
        <v>3</v>
      </c>
      <c r="I16" s="8">
        <v>0</v>
      </c>
      <c r="J16" t="str">
        <f t="shared" si="0"/>
        <v>1816A=1,2</v>
      </c>
      <c r="K16" t="str">
        <v>1817=1</v>
      </c>
      <c r="L16">
        <v>14</v>
      </c>
      <c r="N16" t="str">
        <f t="shared" si="1"/>
        <v>{label:'Rincian 1817=1' , value:14},</v>
      </c>
      <c r="R16" t="str">
        <f t="shared" si="2"/>
        <v>{idk:61, rincian:'Rincian 205', kondisi: '&gt;0', fatal:1},</v>
      </c>
    </row>
    <row r="17" spans="1:18" x14ac:dyDescent="0.25">
      <c r="A17" s="8">
        <v>62</v>
      </c>
      <c r="B17" s="9">
        <v>1817</v>
      </c>
      <c r="C17" s="8" t="s">
        <v>8</v>
      </c>
      <c r="D17" s="9">
        <v>205</v>
      </c>
      <c r="E17" s="8" t="s">
        <v>4</v>
      </c>
      <c r="F17" s="11">
        <v>1</v>
      </c>
      <c r="G17" s="8">
        <v>205</v>
      </c>
      <c r="H17" s="8">
        <v>3</v>
      </c>
      <c r="I17" s="8">
        <v>0</v>
      </c>
      <c r="J17" t="str">
        <f t="shared" si="0"/>
        <v>1817=1</v>
      </c>
      <c r="K17" t="str">
        <v>2001H=1</v>
      </c>
      <c r="L17">
        <v>15</v>
      </c>
      <c r="N17" t="str">
        <f t="shared" si="1"/>
        <v>{label:'Rincian 2001H=1' , value:15},</v>
      </c>
      <c r="R17" t="str">
        <f t="shared" si="2"/>
        <v>{idk:62, rincian:'Rincian 205', kondisi: '&gt;0', fatal:1},</v>
      </c>
    </row>
    <row r="18" spans="1:18" x14ac:dyDescent="0.25">
      <c r="A18" s="8">
        <v>61</v>
      </c>
      <c r="B18" s="9" t="s">
        <v>50</v>
      </c>
      <c r="C18" s="8" t="s">
        <v>6</v>
      </c>
      <c r="D18" s="9">
        <v>206</v>
      </c>
      <c r="E18" s="8" t="s">
        <v>4</v>
      </c>
      <c r="F18" s="8">
        <v>1</v>
      </c>
      <c r="G18" s="8">
        <v>206</v>
      </c>
      <c r="H18" s="8">
        <v>3</v>
      </c>
      <c r="I18" s="8">
        <v>0</v>
      </c>
      <c r="J18" t="str">
        <f t="shared" si="0"/>
        <v>1816A=1,2</v>
      </c>
      <c r="K18" t="str">
        <v>2001J=1</v>
      </c>
      <c r="L18">
        <v>16</v>
      </c>
      <c r="N18" t="str">
        <f t="shared" si="1"/>
        <v>{label:'Rincian 2001J=1' , value:16},</v>
      </c>
      <c r="R18" t="str">
        <f t="shared" si="2"/>
        <v>{idk:61, rincian:'Rincian 206', kondisi: '&gt;0', fatal:1},</v>
      </c>
    </row>
    <row r="19" spans="1:18" x14ac:dyDescent="0.25">
      <c r="A19" s="8">
        <v>62</v>
      </c>
      <c r="B19" s="9">
        <v>1817</v>
      </c>
      <c r="C19" s="8" t="s">
        <v>8</v>
      </c>
      <c r="D19" s="9">
        <v>206</v>
      </c>
      <c r="E19" s="8" t="s">
        <v>4</v>
      </c>
      <c r="F19" s="8">
        <v>1</v>
      </c>
      <c r="G19" s="8">
        <v>206</v>
      </c>
      <c r="H19" s="8">
        <v>3</v>
      </c>
      <c r="I19" s="8">
        <v>0</v>
      </c>
      <c r="J19" t="str">
        <f t="shared" si="0"/>
        <v>1817=1</v>
      </c>
      <c r="K19" t="str">
        <v>2001K=1</v>
      </c>
      <c r="L19">
        <v>17</v>
      </c>
      <c r="N19" t="str">
        <f t="shared" si="1"/>
        <v>{label:'Rincian 2001K=1' , value:17},</v>
      </c>
      <c r="R19" t="str">
        <f t="shared" si="2"/>
        <v>{idk:62, rincian:'Rincian 206', kondisi: '&gt;0', fatal:1},</v>
      </c>
    </row>
    <row r="20" spans="1:18" x14ac:dyDescent="0.25">
      <c r="A20" s="8">
        <v>75</v>
      </c>
      <c r="B20" s="9" t="s">
        <v>61</v>
      </c>
      <c r="C20" s="8" t="s">
        <v>8</v>
      </c>
      <c r="D20" s="9">
        <v>215</v>
      </c>
      <c r="E20" s="8" t="s">
        <v>4</v>
      </c>
      <c r="F20" s="8">
        <v>1</v>
      </c>
      <c r="G20" s="8">
        <v>215</v>
      </c>
      <c r="H20" s="8">
        <v>3</v>
      </c>
      <c r="I20" s="8">
        <v>0</v>
      </c>
      <c r="J20" t="str">
        <f t="shared" si="0"/>
        <v>2001H=1</v>
      </c>
      <c r="K20" t="str">
        <v>1817=2,3,4</v>
      </c>
      <c r="L20">
        <v>18</v>
      </c>
      <c r="N20" t="str">
        <f t="shared" si="1"/>
        <v>{label:'Rincian 1817=2,3,4' , value:18},</v>
      </c>
      <c r="R20" t="str">
        <f t="shared" si="2"/>
        <v>{idk:75, rincian:'Rincian 215', kondisi: '&gt;0', fatal:1},</v>
      </c>
    </row>
    <row r="21" spans="1:18" x14ac:dyDescent="0.25">
      <c r="A21" s="8">
        <v>76</v>
      </c>
      <c r="B21" s="9" t="s">
        <v>62</v>
      </c>
      <c r="C21" s="12" t="s">
        <v>8</v>
      </c>
      <c r="D21" s="9" t="s">
        <v>63</v>
      </c>
      <c r="E21" s="8" t="s">
        <v>4</v>
      </c>
      <c r="F21" s="8">
        <v>1</v>
      </c>
      <c r="G21" s="8">
        <v>215</v>
      </c>
      <c r="H21" s="8">
        <v>7</v>
      </c>
      <c r="I21" s="8">
        <v>0</v>
      </c>
      <c r="J21" t="str">
        <f t="shared" si="0"/>
        <v>2001J=1</v>
      </c>
      <c r="K21" t="str">
        <v>1817=5</v>
      </c>
      <c r="L21">
        <v>19</v>
      </c>
      <c r="N21" t="str">
        <f t="shared" si="1"/>
        <v>{label:'Rincian 1817=5' , value:19},</v>
      </c>
      <c r="R21" t="str">
        <f t="shared" si="2"/>
        <v>{idk:76, rincian:'Rincian 215+217', kondisi: '&gt;0', fatal:1},</v>
      </c>
    </row>
    <row r="22" spans="1:18" x14ac:dyDescent="0.25">
      <c r="A22" s="8">
        <v>77</v>
      </c>
      <c r="B22" s="9" t="s">
        <v>65</v>
      </c>
      <c r="C22" s="12" t="s">
        <v>8</v>
      </c>
      <c r="D22" s="9" t="s">
        <v>63</v>
      </c>
      <c r="E22" s="8" t="s">
        <v>4</v>
      </c>
      <c r="F22" s="8">
        <v>1</v>
      </c>
      <c r="G22" s="8">
        <v>215</v>
      </c>
      <c r="H22" s="8">
        <v>7</v>
      </c>
      <c r="I22" s="8">
        <v>0</v>
      </c>
      <c r="J22" t="str">
        <f t="shared" si="0"/>
        <v>2001K=1</v>
      </c>
      <c r="K22" t="str">
        <v>1817=7</v>
      </c>
      <c r="L22">
        <v>20</v>
      </c>
      <c r="N22" t="str">
        <f t="shared" si="1"/>
        <v>{label:'Rincian 1817=7' , value:20},</v>
      </c>
      <c r="R22" t="str">
        <f t="shared" si="2"/>
        <v>{idk:77, rincian:'Rincian 215+217', kondisi: '&gt;0', fatal:1},</v>
      </c>
    </row>
    <row r="23" spans="1:18" x14ac:dyDescent="0.25">
      <c r="A23" s="8">
        <v>75</v>
      </c>
      <c r="B23" s="9" t="s">
        <v>61</v>
      </c>
      <c r="C23" s="8" t="s">
        <v>8</v>
      </c>
      <c r="D23" s="9">
        <v>216</v>
      </c>
      <c r="E23" s="8" t="s">
        <v>4</v>
      </c>
      <c r="F23" s="8">
        <v>1</v>
      </c>
      <c r="G23" s="8">
        <v>216</v>
      </c>
      <c r="H23" s="8">
        <v>3</v>
      </c>
      <c r="I23" s="8">
        <v>0</v>
      </c>
      <c r="J23" t="str">
        <f t="shared" si="0"/>
        <v>2001H=1</v>
      </c>
      <c r="K23" t="str">
        <v>1817=8,9</v>
      </c>
      <c r="L23">
        <v>21</v>
      </c>
      <c r="N23" t="str">
        <f t="shared" si="1"/>
        <v>{label:'Rincian 1817=8,9' , value:21},</v>
      </c>
      <c r="R23" t="str">
        <f t="shared" si="2"/>
        <v>{idk:75, rincian:'Rincian 216', kondisi: '&gt;0', fatal:1},</v>
      </c>
    </row>
    <row r="24" spans="1:18" x14ac:dyDescent="0.25">
      <c r="A24" s="8">
        <v>76</v>
      </c>
      <c r="B24" s="9" t="s">
        <v>62</v>
      </c>
      <c r="C24" s="12" t="s">
        <v>8</v>
      </c>
      <c r="D24" s="9" t="s">
        <v>64</v>
      </c>
      <c r="E24" s="8" t="s">
        <v>4</v>
      </c>
      <c r="F24" s="8">
        <v>1</v>
      </c>
      <c r="G24" s="8">
        <v>216</v>
      </c>
      <c r="H24" s="8">
        <v>7</v>
      </c>
      <c r="I24" s="8">
        <v>0</v>
      </c>
      <c r="J24" t="str">
        <f t="shared" si="0"/>
        <v>2001J=1</v>
      </c>
      <c r="K24" t="str">
        <v>1817=6</v>
      </c>
      <c r="L24">
        <v>22</v>
      </c>
      <c r="N24" t="str">
        <f t="shared" si="1"/>
        <v>{label:'Rincian 1817=6' , value:22},</v>
      </c>
      <c r="R24" t="str">
        <f t="shared" si="2"/>
        <v>{idk:76, rincian:'Rincian 216+218', kondisi: '&gt;0', fatal:1},</v>
      </c>
    </row>
    <row r="25" spans="1:18" x14ac:dyDescent="0.25">
      <c r="A25" s="8">
        <v>77</v>
      </c>
      <c r="B25" s="9" t="s">
        <v>65</v>
      </c>
      <c r="C25" s="12" t="s">
        <v>8</v>
      </c>
      <c r="D25" s="9" t="s">
        <v>64</v>
      </c>
      <c r="E25" s="8" t="s">
        <v>4</v>
      </c>
      <c r="F25" s="8">
        <v>1</v>
      </c>
      <c r="G25" s="8">
        <v>216</v>
      </c>
      <c r="H25" s="8">
        <v>7</v>
      </c>
      <c r="I25" s="8">
        <v>0</v>
      </c>
      <c r="J25" t="str">
        <f t="shared" si="0"/>
        <v>2001K=1</v>
      </c>
      <c r="K25" t="str">
        <v>1817=10,11</v>
      </c>
      <c r="L25">
        <v>23</v>
      </c>
      <c r="N25" t="str">
        <f t="shared" si="1"/>
        <v>{label:'Rincian 1817=10,11' , value:23},</v>
      </c>
      <c r="R25" t="str">
        <f t="shared" si="2"/>
        <v>{idk:77, rincian:'Rincian 216+218', kondisi: '&gt;0', fatal:1},</v>
      </c>
    </row>
    <row r="26" spans="1:18" x14ac:dyDescent="0.25">
      <c r="A26" s="8">
        <v>75</v>
      </c>
      <c r="B26" s="9" t="s">
        <v>61</v>
      </c>
      <c r="C26" s="8" t="s">
        <v>8</v>
      </c>
      <c r="D26" s="9">
        <v>221</v>
      </c>
      <c r="E26" s="8" t="s">
        <v>4</v>
      </c>
      <c r="F26" s="8">
        <v>1</v>
      </c>
      <c r="G26" s="8">
        <v>221</v>
      </c>
      <c r="H26" s="8">
        <v>3</v>
      </c>
      <c r="I26" s="8">
        <v>0</v>
      </c>
      <c r="J26" t="str">
        <f t="shared" si="0"/>
        <v>2001H=1</v>
      </c>
      <c r="K26" t="str">
        <v>301&gt;0</v>
      </c>
      <c r="L26">
        <v>24</v>
      </c>
      <c r="N26" t="str">
        <f t="shared" si="1"/>
        <v>{label:'Rincian 301&gt;0' , value:24},</v>
      </c>
      <c r="R26" t="str">
        <f t="shared" si="2"/>
        <v>{idk:75, rincian:'Rincian 221', kondisi: '&gt;0', fatal:1},</v>
      </c>
    </row>
    <row r="27" spans="1:18" x14ac:dyDescent="0.25">
      <c r="A27" s="8">
        <v>77</v>
      </c>
      <c r="B27" s="9" t="s">
        <v>65</v>
      </c>
      <c r="C27" s="12" t="s">
        <v>8</v>
      </c>
      <c r="D27" s="9">
        <v>221</v>
      </c>
      <c r="E27" s="8" t="s">
        <v>4</v>
      </c>
      <c r="F27" s="8">
        <v>1</v>
      </c>
      <c r="G27" s="8">
        <v>221</v>
      </c>
      <c r="H27" s="8">
        <v>3</v>
      </c>
      <c r="I27" s="8">
        <v>0</v>
      </c>
      <c r="J27" t="str">
        <f t="shared" si="0"/>
        <v>2001K=1</v>
      </c>
      <c r="K27" t="str">
        <v>2001E=1</v>
      </c>
      <c r="L27">
        <v>25</v>
      </c>
      <c r="N27" t="str">
        <f t="shared" si="1"/>
        <v>{label:'Rincian 2001E=1' , value:25},</v>
      </c>
      <c r="R27" t="str">
        <f t="shared" si="2"/>
        <v>{idk:77, rincian:'Rincian 221', kondisi: '&gt;0', fatal:1},</v>
      </c>
    </row>
    <row r="28" spans="1:18" x14ac:dyDescent="0.25">
      <c r="A28" s="8">
        <v>76</v>
      </c>
      <c r="B28" s="9" t="s">
        <v>62</v>
      </c>
      <c r="C28" s="12" t="s">
        <v>8</v>
      </c>
      <c r="D28" s="9">
        <v>221</v>
      </c>
      <c r="E28" s="8" t="s">
        <v>4</v>
      </c>
      <c r="F28" s="8">
        <v>2</v>
      </c>
      <c r="G28" s="8">
        <v>221</v>
      </c>
      <c r="H28" s="8">
        <v>3</v>
      </c>
      <c r="I28" s="8">
        <v>0</v>
      </c>
      <c r="J28" t="str">
        <f t="shared" si="0"/>
        <v>2001J=1</v>
      </c>
      <c r="K28" t="str">
        <v>801=1</v>
      </c>
      <c r="L28">
        <v>26</v>
      </c>
      <c r="N28" t="str">
        <f t="shared" si="1"/>
        <v>{label:'Rincian 801=1' , value:26},</v>
      </c>
      <c r="R28" t="str">
        <f t="shared" si="2"/>
        <v>{idk:76, rincian:'Rincian 221', kondisi: '&gt;0', fatal:2},</v>
      </c>
    </row>
    <row r="29" spans="1:18" x14ac:dyDescent="0.25">
      <c r="A29" s="8">
        <v>75</v>
      </c>
      <c r="B29" s="9" t="s">
        <v>61</v>
      </c>
      <c r="C29" s="8" t="s">
        <v>8</v>
      </c>
      <c r="D29" s="9">
        <v>222</v>
      </c>
      <c r="E29" s="8" t="s">
        <v>4</v>
      </c>
      <c r="F29" s="8">
        <v>1</v>
      </c>
      <c r="G29" s="8">
        <v>222</v>
      </c>
      <c r="H29" s="8">
        <v>3</v>
      </c>
      <c r="I29" s="8">
        <v>0</v>
      </c>
      <c r="J29" t="str">
        <f t="shared" si="0"/>
        <v>2001H=1</v>
      </c>
      <c r="K29" t="str">
        <v>802=1</v>
      </c>
      <c r="L29">
        <v>27</v>
      </c>
      <c r="N29" t="str">
        <f t="shared" si="1"/>
        <v>{label:'Rincian 802=1' , value:27},</v>
      </c>
      <c r="R29" t="str">
        <f t="shared" si="2"/>
        <v>{idk:75, rincian:'Rincian 222', kondisi: '&gt;0', fatal:1},</v>
      </c>
    </row>
    <row r="30" spans="1:18" x14ac:dyDescent="0.25">
      <c r="A30" s="8">
        <v>77</v>
      </c>
      <c r="B30" s="9" t="s">
        <v>65</v>
      </c>
      <c r="C30" s="12" t="s">
        <v>8</v>
      </c>
      <c r="D30" s="9">
        <v>222</v>
      </c>
      <c r="E30" s="8" t="s">
        <v>4</v>
      </c>
      <c r="F30" s="8">
        <v>1</v>
      </c>
      <c r="G30" s="8">
        <v>222</v>
      </c>
      <c r="H30" s="8">
        <v>3</v>
      </c>
      <c r="I30" s="8">
        <v>0</v>
      </c>
      <c r="J30" t="str">
        <f t="shared" si="0"/>
        <v>2001K=1</v>
      </c>
      <c r="K30" t="str">
        <v>803+804+805+806&gt;0</v>
      </c>
      <c r="L30">
        <v>28</v>
      </c>
      <c r="N30" t="str">
        <f t="shared" si="1"/>
        <v>{label:'Rincian 803+804+805+806&gt;0' , value:28},</v>
      </c>
      <c r="R30" t="str">
        <f t="shared" si="2"/>
        <v>{idk:77, rincian:'Rincian 222', kondisi: '&gt;0', fatal:1},</v>
      </c>
    </row>
    <row r="31" spans="1:18" x14ac:dyDescent="0.25">
      <c r="A31" s="8">
        <v>76</v>
      </c>
      <c r="B31" s="9" t="s">
        <v>62</v>
      </c>
      <c r="C31" s="12" t="s">
        <v>8</v>
      </c>
      <c r="D31" s="9">
        <v>222</v>
      </c>
      <c r="E31" s="8" t="s">
        <v>4</v>
      </c>
      <c r="F31" s="8">
        <v>2</v>
      </c>
      <c r="G31" s="8">
        <v>222</v>
      </c>
      <c r="H31" s="8">
        <v>3</v>
      </c>
      <c r="I31" s="8">
        <v>0</v>
      </c>
      <c r="J31" t="str">
        <f t="shared" si="0"/>
        <v>2001J=1</v>
      </c>
      <c r="K31" t="str">
        <v>808=1</v>
      </c>
      <c r="L31">
        <v>29</v>
      </c>
      <c r="N31" t="str">
        <f t="shared" si="1"/>
        <v>{label:'Rincian 808=1' , value:29},</v>
      </c>
      <c r="R31" t="str">
        <f t="shared" si="2"/>
        <v>{idk:76, rincian:'Rincian 222', kondisi: '&gt;0', fatal:2},</v>
      </c>
    </row>
    <row r="32" spans="1:18" x14ac:dyDescent="0.25">
      <c r="A32" s="8">
        <v>75</v>
      </c>
      <c r="B32" s="9" t="s">
        <v>61</v>
      </c>
      <c r="C32" s="8" t="s">
        <v>8</v>
      </c>
      <c r="D32" s="9">
        <v>223</v>
      </c>
      <c r="E32" s="8" t="s">
        <v>4</v>
      </c>
      <c r="F32" s="8">
        <v>1</v>
      </c>
      <c r="G32" s="8">
        <v>223</v>
      </c>
      <c r="H32" s="8">
        <v>3</v>
      </c>
      <c r="I32" s="8">
        <v>0</v>
      </c>
      <c r="J32" t="str">
        <f t="shared" si="0"/>
        <v>2001H=1</v>
      </c>
      <c r="K32" t="str">
        <v>811=E,F</v>
      </c>
      <c r="L32">
        <v>30</v>
      </c>
      <c r="N32" t="str">
        <f t="shared" si="1"/>
        <v>{label:'Rincian 811=E,F' , value:30},</v>
      </c>
      <c r="R32" t="str">
        <f t="shared" si="2"/>
        <v>{idk:75, rincian:'Rincian 223', kondisi: '&gt;0', fatal:1},</v>
      </c>
    </row>
    <row r="33" spans="1:18" x14ac:dyDescent="0.25">
      <c r="A33" s="8">
        <v>77</v>
      </c>
      <c r="B33" s="9" t="s">
        <v>65</v>
      </c>
      <c r="C33" s="12" t="s">
        <v>8</v>
      </c>
      <c r="D33" s="9">
        <v>223</v>
      </c>
      <c r="E33" s="8" t="s">
        <v>4</v>
      </c>
      <c r="F33" s="8">
        <v>1</v>
      </c>
      <c r="G33" s="8">
        <v>223</v>
      </c>
      <c r="H33" s="8">
        <v>3</v>
      </c>
      <c r="I33" s="8">
        <v>0</v>
      </c>
      <c r="J33" t="str">
        <f t="shared" si="0"/>
        <v>2001K=1</v>
      </c>
      <c r="K33" t="str">
        <v>1107=A</v>
      </c>
      <c r="L33">
        <v>31</v>
      </c>
      <c r="N33" t="str">
        <f t="shared" si="1"/>
        <v>{label:'Rincian 1107=A' , value:31},</v>
      </c>
      <c r="R33" t="str">
        <f t="shared" si="2"/>
        <v>{idk:77, rincian:'Rincian 223', kondisi: '&gt;0', fatal:1},</v>
      </c>
    </row>
    <row r="34" spans="1:18" x14ac:dyDescent="0.25">
      <c r="A34" s="8">
        <v>76</v>
      </c>
      <c r="B34" s="9" t="s">
        <v>62</v>
      </c>
      <c r="C34" s="12" t="s">
        <v>8</v>
      </c>
      <c r="D34" s="9">
        <v>223</v>
      </c>
      <c r="E34" s="8" t="s">
        <v>4</v>
      </c>
      <c r="F34" s="8">
        <v>2</v>
      </c>
      <c r="G34" s="8">
        <v>223</v>
      </c>
      <c r="H34" s="8">
        <v>3</v>
      </c>
      <c r="I34" s="8">
        <v>0</v>
      </c>
      <c r="J34" t="str">
        <f t="shared" si="0"/>
        <v>2001J=1</v>
      </c>
      <c r="K34" t="str">
        <v>1202=A</v>
      </c>
      <c r="L34">
        <v>32</v>
      </c>
      <c r="N34" t="str">
        <f t="shared" si="1"/>
        <v>{label:'Rincian 1202=A' , value:32},</v>
      </c>
      <c r="R34" t="str">
        <f t="shared" si="2"/>
        <v>{idk:76, rincian:'Rincian 223', kondisi: '&gt;0', fatal:2},</v>
      </c>
    </row>
    <row r="35" spans="1:18" x14ac:dyDescent="0.25">
      <c r="A35" s="8">
        <v>63</v>
      </c>
      <c r="B35" s="9">
        <v>1817</v>
      </c>
      <c r="C35" s="12" t="s">
        <v>51</v>
      </c>
      <c r="D35" s="9">
        <v>224</v>
      </c>
      <c r="E35" s="8" t="s">
        <v>4</v>
      </c>
      <c r="F35" s="8">
        <v>1</v>
      </c>
      <c r="G35" s="8">
        <v>224</v>
      </c>
      <c r="H35" s="8">
        <v>3</v>
      </c>
      <c r="I35" s="8">
        <v>0</v>
      </c>
      <c r="J35" t="str">
        <f t="shared" si="0"/>
        <v>1817=2,3,4</v>
      </c>
      <c r="K35" t="str">
        <v>1504A=1 dan umur anak &lt; 1 tahun</v>
      </c>
      <c r="L35">
        <v>33</v>
      </c>
      <c r="N35" t="str">
        <f t="shared" si="1"/>
        <v>{label:'Rincian 1504A=1 dan umur anak &lt; 1 tahun' , value:33},</v>
      </c>
      <c r="R35" t="str">
        <f t="shared" si="2"/>
        <v>{idk:63, rincian:'Rincian 224', kondisi: '&gt;0', fatal:1},</v>
      </c>
    </row>
    <row r="36" spans="1:18" x14ac:dyDescent="0.25">
      <c r="A36" s="8">
        <v>63</v>
      </c>
      <c r="B36" s="9">
        <v>1817</v>
      </c>
      <c r="C36" s="8" t="s">
        <v>51</v>
      </c>
      <c r="D36" s="9">
        <v>225</v>
      </c>
      <c r="E36" s="8" t="s">
        <v>4</v>
      </c>
      <c r="F36" s="8">
        <v>1</v>
      </c>
      <c r="G36" s="8">
        <v>225</v>
      </c>
      <c r="H36" s="8">
        <v>3</v>
      </c>
      <c r="I36" s="8">
        <v>0</v>
      </c>
      <c r="J36" t="str">
        <f t="shared" si="0"/>
        <v>1817=2,3,4</v>
      </c>
      <c r="K36" t="str">
        <v>1107=B</v>
      </c>
      <c r="L36">
        <v>34</v>
      </c>
      <c r="N36" t="str">
        <f t="shared" si="1"/>
        <v>{label:'Rincian 1107=B' , value:34},</v>
      </c>
      <c r="R36" t="str">
        <f t="shared" si="2"/>
        <v>{idk:63, rincian:'Rincian 225', kondisi: '&gt;0', fatal:1},</v>
      </c>
    </row>
    <row r="37" spans="1:18" x14ac:dyDescent="0.25">
      <c r="A37" s="8">
        <v>68</v>
      </c>
      <c r="B37" s="9">
        <v>1817</v>
      </c>
      <c r="C37" s="12" t="s">
        <v>37</v>
      </c>
      <c r="D37" s="9">
        <v>226</v>
      </c>
      <c r="E37" s="8" t="s">
        <v>4</v>
      </c>
      <c r="F37" s="8">
        <v>1</v>
      </c>
      <c r="G37" s="8">
        <v>226</v>
      </c>
      <c r="H37" s="8">
        <v>3</v>
      </c>
      <c r="I37" s="8">
        <v>0</v>
      </c>
      <c r="J37" t="str">
        <f t="shared" si="0"/>
        <v>1817=5</v>
      </c>
      <c r="K37" t="str">
        <v>1202=B</v>
      </c>
      <c r="L37">
        <v>35</v>
      </c>
      <c r="N37" t="str">
        <f t="shared" si="1"/>
        <v>{label:'Rincian 1202=B' , value:35},</v>
      </c>
      <c r="R37" t="str">
        <f t="shared" si="2"/>
        <v>{idk:68, rincian:'Rincian 226', kondisi: '&gt;0', fatal:1},</v>
      </c>
    </row>
    <row r="38" spans="1:18" x14ac:dyDescent="0.25">
      <c r="A38" s="8">
        <v>68</v>
      </c>
      <c r="B38" s="9">
        <v>1817</v>
      </c>
      <c r="C38" s="8" t="s">
        <v>37</v>
      </c>
      <c r="D38" s="9">
        <v>227</v>
      </c>
      <c r="E38" s="8" t="s">
        <v>4</v>
      </c>
      <c r="F38" s="8">
        <v>1</v>
      </c>
      <c r="G38" s="8">
        <v>227</v>
      </c>
      <c r="H38" s="8">
        <v>3</v>
      </c>
      <c r="I38" s="8">
        <v>0</v>
      </c>
      <c r="J38" t="str">
        <f t="shared" si="0"/>
        <v>1817=5</v>
      </c>
      <c r="K38" t="str">
        <v>1107=E</v>
      </c>
      <c r="L38">
        <v>36</v>
      </c>
      <c r="N38" t="str">
        <f t="shared" si="1"/>
        <v>{label:'Rincian 1107=E' , value:36},</v>
      </c>
      <c r="R38" t="str">
        <f t="shared" si="2"/>
        <v>{idk:68, rincian:'Rincian 227', kondisi: '&gt;0', fatal:1},</v>
      </c>
    </row>
    <row r="39" spans="1:18" x14ac:dyDescent="0.25">
      <c r="A39" s="8">
        <v>65</v>
      </c>
      <c r="B39" s="9">
        <v>1817</v>
      </c>
      <c r="C39" s="12" t="s">
        <v>53</v>
      </c>
      <c r="D39" s="9">
        <v>228</v>
      </c>
      <c r="E39" s="8" t="s">
        <v>4</v>
      </c>
      <c r="F39" s="8">
        <v>1</v>
      </c>
      <c r="G39" s="8">
        <v>228</v>
      </c>
      <c r="H39" s="8">
        <v>3</v>
      </c>
      <c r="I39" s="8">
        <v>0</v>
      </c>
      <c r="J39" t="str">
        <f t="shared" si="0"/>
        <v>1817=7</v>
      </c>
      <c r="K39" t="str">
        <v>1107=F</v>
      </c>
      <c r="L39">
        <v>37</v>
      </c>
      <c r="N39" t="str">
        <f t="shared" si="1"/>
        <v>{label:'Rincian 1107=F' , value:37},</v>
      </c>
      <c r="R39" t="str">
        <f t="shared" si="2"/>
        <v>{idk:65, rincian:'Rincian 228', kondisi: '&gt;0', fatal:1},</v>
      </c>
    </row>
    <row r="40" spans="1:18" x14ac:dyDescent="0.25">
      <c r="A40" s="8">
        <v>65</v>
      </c>
      <c r="B40" s="9">
        <v>1817</v>
      </c>
      <c r="C40" s="8" t="s">
        <v>53</v>
      </c>
      <c r="D40" s="9">
        <v>229</v>
      </c>
      <c r="E40" s="8" t="s">
        <v>4</v>
      </c>
      <c r="F40" s="8">
        <v>1</v>
      </c>
      <c r="G40" s="8">
        <v>229</v>
      </c>
      <c r="H40" s="8">
        <v>3</v>
      </c>
      <c r="I40" s="8">
        <v>0</v>
      </c>
      <c r="J40" t="str">
        <f t="shared" si="0"/>
        <v>1817=7</v>
      </c>
      <c r="K40" t="str">
        <v>1202=E</v>
      </c>
      <c r="L40">
        <v>38</v>
      </c>
      <c r="N40" t="str">
        <f t="shared" si="1"/>
        <v>{label:'Rincian 1202=E' , value:38},</v>
      </c>
      <c r="R40" t="str">
        <f t="shared" si="2"/>
        <v>{idk:65, rincian:'Rincian 229', kondisi: '&gt;0', fatal:1},</v>
      </c>
    </row>
    <row r="41" spans="1:18" x14ac:dyDescent="0.25">
      <c r="A41" s="8">
        <v>66</v>
      </c>
      <c r="B41" s="9">
        <v>1817</v>
      </c>
      <c r="C41" s="8" t="s">
        <v>54</v>
      </c>
      <c r="D41" s="9">
        <v>230</v>
      </c>
      <c r="E41" s="8" t="s">
        <v>4</v>
      </c>
      <c r="F41" s="8">
        <v>1</v>
      </c>
      <c r="G41" s="8">
        <v>230</v>
      </c>
      <c r="H41" s="8">
        <v>3</v>
      </c>
      <c r="I41" s="8">
        <v>0</v>
      </c>
      <c r="J41" t="str">
        <f t="shared" si="0"/>
        <v>1817=8,9</v>
      </c>
      <c r="K41" t="str">
        <v>1504A=3,4,6 dan umur anak &lt; 1 tahun</v>
      </c>
      <c r="L41">
        <v>39</v>
      </c>
      <c r="N41" t="str">
        <f t="shared" si="1"/>
        <v>{label:'Rincian 1504A=3,4,6 dan umur anak &lt; 1 tahun' , value:39},</v>
      </c>
      <c r="R41" t="str">
        <f t="shared" si="2"/>
        <v>{idk:66, rincian:'Rincian 230', kondisi: '&gt;0', fatal:1},</v>
      </c>
    </row>
    <row r="42" spans="1:18" x14ac:dyDescent="0.25">
      <c r="A42" s="8">
        <v>66</v>
      </c>
      <c r="B42" s="9">
        <v>1817</v>
      </c>
      <c r="C42" s="12" t="s">
        <v>54</v>
      </c>
      <c r="D42" s="9">
        <v>231</v>
      </c>
      <c r="E42" s="8" t="s">
        <v>4</v>
      </c>
      <c r="F42" s="8">
        <v>1</v>
      </c>
      <c r="G42" s="8">
        <v>231</v>
      </c>
      <c r="H42" s="8">
        <v>3</v>
      </c>
      <c r="I42" s="8">
        <v>0</v>
      </c>
      <c r="J42" t="str">
        <f t="shared" si="0"/>
        <v>1817=8,9</v>
      </c>
      <c r="K42" t="str">
        <v>1107=D</v>
      </c>
      <c r="L42">
        <v>40</v>
      </c>
      <c r="N42" t="str">
        <f t="shared" si="1"/>
        <v>{label:'Rincian 1107=D' , value:40},</v>
      </c>
      <c r="R42" t="str">
        <f t="shared" si="2"/>
        <v>{idk:66, rincian:'Rincian 231', kondisi: '&gt;0', fatal:1},</v>
      </c>
    </row>
    <row r="43" spans="1:18" x14ac:dyDescent="0.25">
      <c r="A43" s="8">
        <v>64</v>
      </c>
      <c r="B43" s="9">
        <v>1817</v>
      </c>
      <c r="C43" s="8" t="s">
        <v>52</v>
      </c>
      <c r="D43" s="9">
        <v>232</v>
      </c>
      <c r="E43" s="8" t="s">
        <v>4</v>
      </c>
      <c r="F43" s="8">
        <v>1</v>
      </c>
      <c r="G43" s="8">
        <v>232</v>
      </c>
      <c r="H43" s="8">
        <v>3</v>
      </c>
      <c r="I43" s="8">
        <v>0</v>
      </c>
      <c r="J43" t="str">
        <f t="shared" si="0"/>
        <v>1817=6</v>
      </c>
      <c r="K43" t="str">
        <v>1202=D</v>
      </c>
      <c r="L43">
        <v>41</v>
      </c>
      <c r="N43" t="str">
        <f t="shared" si="1"/>
        <v>{label:'Rincian 1202=D' , value:41},</v>
      </c>
      <c r="R43" t="str">
        <f t="shared" si="2"/>
        <v>{idk:64, rincian:'Rincian 232', kondisi: '&gt;0', fatal:1},</v>
      </c>
    </row>
    <row r="44" spans="1:18" x14ac:dyDescent="0.25">
      <c r="A44" s="8">
        <v>67</v>
      </c>
      <c r="B44" s="9">
        <v>1817</v>
      </c>
      <c r="C44" s="12" t="s">
        <v>55</v>
      </c>
      <c r="D44" s="9">
        <v>233</v>
      </c>
      <c r="E44" s="8" t="s">
        <v>4</v>
      </c>
      <c r="F44" s="8">
        <v>1</v>
      </c>
      <c r="G44" s="8">
        <v>233</v>
      </c>
      <c r="H44" s="8">
        <v>3</v>
      </c>
      <c r="I44" s="8">
        <v>0</v>
      </c>
      <c r="J44" t="str">
        <f t="shared" si="0"/>
        <v>1817=10,11</v>
      </c>
      <c r="K44" t="str">
        <v>1504A=2 dan umur anak &lt; 1 tahun</v>
      </c>
      <c r="L44">
        <v>42</v>
      </c>
      <c r="N44" t="str">
        <f t="shared" si="1"/>
        <v>{label:'Rincian 1504A=2 dan umur anak &lt; 1 tahun' , value:42},</v>
      </c>
      <c r="R44" t="str">
        <f t="shared" si="2"/>
        <v>{idk:67, rincian:'Rincian 233', kondisi: '&gt;0', fatal:1},</v>
      </c>
    </row>
    <row r="45" spans="1:18" x14ac:dyDescent="0.25">
      <c r="A45" s="8">
        <v>1</v>
      </c>
      <c r="B45" s="9">
        <v>301</v>
      </c>
      <c r="C45" s="8" t="s">
        <v>4</v>
      </c>
      <c r="D45" s="9">
        <v>234</v>
      </c>
      <c r="E45" s="8" t="s">
        <v>4</v>
      </c>
      <c r="F45" s="8">
        <v>1</v>
      </c>
      <c r="G45" s="8">
        <v>234</v>
      </c>
      <c r="H45" s="8">
        <v>3</v>
      </c>
      <c r="I45" s="8">
        <v>0</v>
      </c>
      <c r="J45" t="str">
        <f t="shared" si="0"/>
        <v>301&gt;0</v>
      </c>
      <c r="K45" t="str">
        <v>1107=H</v>
      </c>
      <c r="L45">
        <v>43</v>
      </c>
      <c r="N45" t="str">
        <f t="shared" si="1"/>
        <v>{label:'Rincian 1107=H' , value:43},</v>
      </c>
      <c r="R45" t="str">
        <f t="shared" si="2"/>
        <v>{idk:1, rincian:'Rincian 234', kondisi: '&gt;0', fatal:1},</v>
      </c>
    </row>
    <row r="46" spans="1:18" x14ac:dyDescent="0.25">
      <c r="A46" s="8">
        <v>74</v>
      </c>
      <c r="B46" s="9" t="s">
        <v>60</v>
      </c>
      <c r="C46" s="12" t="s">
        <v>8</v>
      </c>
      <c r="D46" s="9">
        <v>235</v>
      </c>
      <c r="E46" s="8" t="s">
        <v>4</v>
      </c>
      <c r="F46" s="8">
        <v>1</v>
      </c>
      <c r="G46" s="8">
        <v>235</v>
      </c>
      <c r="H46" s="8">
        <v>3</v>
      </c>
      <c r="I46" s="8">
        <v>0</v>
      </c>
      <c r="J46" t="str">
        <f t="shared" si="0"/>
        <v>2001E=1</v>
      </c>
      <c r="K46" t="str">
        <v>1202=C</v>
      </c>
      <c r="L46">
        <v>44</v>
      </c>
      <c r="N46" t="str">
        <f t="shared" si="1"/>
        <v>{label:'Rincian 1202=C' , value:44},</v>
      </c>
      <c r="R46" t="str">
        <f t="shared" si="2"/>
        <v>{idk:74, rincian:'Rincian 235', kondisi: '&gt;0', fatal:1},</v>
      </c>
    </row>
    <row r="47" spans="1:18" x14ac:dyDescent="0.25">
      <c r="A47" s="8">
        <v>15</v>
      </c>
      <c r="B47" s="9">
        <v>801</v>
      </c>
      <c r="C47" s="8" t="s">
        <v>8</v>
      </c>
      <c r="D47" s="9" t="s">
        <v>108</v>
      </c>
      <c r="E47" s="8" t="s">
        <v>4</v>
      </c>
      <c r="F47" s="11">
        <v>1</v>
      </c>
      <c r="G47" s="8">
        <v>236</v>
      </c>
      <c r="H47" s="8">
        <v>11</v>
      </c>
      <c r="I47" s="8">
        <v>0</v>
      </c>
      <c r="J47" t="str">
        <f t="shared" si="0"/>
        <v>801=1</v>
      </c>
      <c r="K47" t="str">
        <v>1202=G</v>
      </c>
      <c r="L47">
        <v>45</v>
      </c>
      <c r="N47" t="str">
        <f t="shared" si="1"/>
        <v>{label:'Rincian 1202=G' , value:45},</v>
      </c>
      <c r="R47" t="str">
        <f t="shared" si="2"/>
        <v>{idk:15, rincian:'Rincian 236+238+239', kondisi: '&gt;0', fatal:1},</v>
      </c>
    </row>
    <row r="48" spans="1:18" x14ac:dyDescent="0.25">
      <c r="A48" s="8">
        <v>16</v>
      </c>
      <c r="B48" s="9">
        <v>802</v>
      </c>
      <c r="C48" s="12" t="s">
        <v>8</v>
      </c>
      <c r="D48" s="9" t="s">
        <v>108</v>
      </c>
      <c r="E48" s="8" t="s">
        <v>4</v>
      </c>
      <c r="F48" s="8">
        <v>1</v>
      </c>
      <c r="G48" s="8">
        <v>236</v>
      </c>
      <c r="H48" s="8">
        <v>11</v>
      </c>
      <c r="I48" s="8">
        <v>0</v>
      </c>
      <c r="J48" t="str">
        <f t="shared" si="0"/>
        <v>802=1</v>
      </c>
      <c r="K48" t="str">
        <v>1504A=5 dan umur anak &lt; 1 tahun</v>
      </c>
      <c r="L48">
        <v>46</v>
      </c>
      <c r="N48" t="str">
        <f t="shared" si="1"/>
        <v>{label:'Rincian 1504A=5 dan umur anak &lt; 1 tahun' , value:46},</v>
      </c>
      <c r="R48" t="str">
        <f t="shared" si="2"/>
        <v>{idk:16, rincian:'Rincian 236+238+239', kondisi: '&gt;0', fatal:1},</v>
      </c>
    </row>
    <row r="49" spans="1:18" x14ac:dyDescent="0.25">
      <c r="A49" s="8">
        <v>17</v>
      </c>
      <c r="B49" s="9" t="s">
        <v>109</v>
      </c>
      <c r="C49" s="12" t="s">
        <v>4</v>
      </c>
      <c r="D49" s="9" t="s">
        <v>108</v>
      </c>
      <c r="E49" s="8" t="s">
        <v>4</v>
      </c>
      <c r="F49" s="8">
        <v>1</v>
      </c>
      <c r="G49" s="8">
        <v>236</v>
      </c>
      <c r="H49" s="8">
        <v>11</v>
      </c>
      <c r="I49" s="8">
        <v>0</v>
      </c>
      <c r="J49" t="str">
        <f t="shared" si="0"/>
        <v>803+804+805+806&gt;0</v>
      </c>
      <c r="K49" t="str">
        <v>1107=C</v>
      </c>
      <c r="L49">
        <v>47</v>
      </c>
      <c r="N49" t="str">
        <f t="shared" si="1"/>
        <v>{label:'Rincian 1107=C' , value:47},</v>
      </c>
      <c r="R49" t="str">
        <f t="shared" si="2"/>
        <v>{idk:17, rincian:'Rincian 236+238+239', kondisi: '&gt;0', fatal:1},</v>
      </c>
    </row>
    <row r="50" spans="1:18" x14ac:dyDescent="0.25">
      <c r="A50" s="8">
        <v>18</v>
      </c>
      <c r="B50" s="9">
        <v>808</v>
      </c>
      <c r="C50" s="12" t="s">
        <v>8</v>
      </c>
      <c r="D50" s="9">
        <v>238</v>
      </c>
      <c r="E50" s="8" t="s">
        <v>4</v>
      </c>
      <c r="F50" s="8">
        <v>1</v>
      </c>
      <c r="G50" s="8">
        <v>238</v>
      </c>
      <c r="H50" s="8">
        <v>3</v>
      </c>
      <c r="I50" s="8">
        <v>0</v>
      </c>
      <c r="J50" t="str">
        <f t="shared" si="0"/>
        <v>808=1</v>
      </c>
      <c r="K50" t="str">
        <v>1107=G</v>
      </c>
      <c r="L50">
        <v>48</v>
      </c>
      <c r="N50" t="str">
        <f t="shared" si="1"/>
        <v>{label:'Rincian 1107=G' , value:48},</v>
      </c>
      <c r="R50" t="str">
        <f t="shared" si="2"/>
        <v>{idk:18, rincian:'Rincian 238', kondisi: '&gt;0', fatal:1},</v>
      </c>
    </row>
    <row r="51" spans="1:18" x14ac:dyDescent="0.25">
      <c r="A51" s="8">
        <v>19</v>
      </c>
      <c r="B51" s="9">
        <v>811</v>
      </c>
      <c r="C51" s="8" t="s">
        <v>47</v>
      </c>
      <c r="D51" s="9">
        <v>239</v>
      </c>
      <c r="E51" s="8" t="s">
        <v>4</v>
      </c>
      <c r="F51" s="11">
        <v>2</v>
      </c>
      <c r="G51" s="8">
        <v>239</v>
      </c>
      <c r="H51" s="8">
        <v>3</v>
      </c>
      <c r="I51" s="8">
        <v>0</v>
      </c>
      <c r="J51" t="str">
        <f t="shared" si="0"/>
        <v>811=E,F</v>
      </c>
      <c r="K51" t="str">
        <v>1202=F</v>
      </c>
      <c r="L51">
        <v>49</v>
      </c>
      <c r="N51" t="str">
        <f t="shared" si="1"/>
        <v>{label:'Rincian 1202=F' , value:49},</v>
      </c>
      <c r="R51" t="str">
        <f t="shared" si="2"/>
        <v>{idk:19, rincian:'Rincian 239', kondisi: '&gt;0', fatal:2},</v>
      </c>
    </row>
    <row r="52" spans="1:18" x14ac:dyDescent="0.25">
      <c r="A52" s="8">
        <v>1</v>
      </c>
      <c r="B52" s="9">
        <v>301</v>
      </c>
      <c r="C52" s="8" t="s">
        <v>4</v>
      </c>
      <c r="D52" s="9">
        <v>241</v>
      </c>
      <c r="E52" s="8" t="s">
        <v>4</v>
      </c>
      <c r="F52" s="8">
        <v>1</v>
      </c>
      <c r="G52" s="8">
        <v>241</v>
      </c>
      <c r="H52" s="8">
        <v>3</v>
      </c>
      <c r="I52" s="8">
        <v>0</v>
      </c>
      <c r="J52" t="str">
        <f t="shared" si="0"/>
        <v>301&gt;0</v>
      </c>
      <c r="K52" t="str">
        <v>1504B=6 dan umur anak &lt; 1 tahun</v>
      </c>
      <c r="L52">
        <v>50</v>
      </c>
      <c r="N52" t="str">
        <f t="shared" si="1"/>
        <v>{label:'Rincian 1504B=6 dan umur anak &lt; 1 tahun' , value:50},</v>
      </c>
      <c r="R52" t="str">
        <f t="shared" si="2"/>
        <v>{idk:1, rincian:'Rincian 241', kondisi: '&gt;0', fatal:1},</v>
      </c>
    </row>
    <row r="53" spans="1:18" x14ac:dyDescent="0.25">
      <c r="A53" s="8">
        <v>1</v>
      </c>
      <c r="B53" s="9">
        <v>301</v>
      </c>
      <c r="C53" s="12" t="s">
        <v>4</v>
      </c>
      <c r="D53" s="9">
        <v>242</v>
      </c>
      <c r="E53" s="8" t="s">
        <v>4</v>
      </c>
      <c r="F53" s="8">
        <v>1</v>
      </c>
      <c r="G53" s="8">
        <v>242</v>
      </c>
      <c r="H53" s="8">
        <v>3</v>
      </c>
      <c r="I53" s="8">
        <v>0</v>
      </c>
      <c r="J53" t="str">
        <f t="shared" si="0"/>
        <v>301&gt;0</v>
      </c>
      <c r="K53" t="str">
        <v>407&lt;1</v>
      </c>
      <c r="L53">
        <v>51</v>
      </c>
      <c r="N53" t="str">
        <f t="shared" si="1"/>
        <v>{label:'Rincian 407&lt;1' , value:51},</v>
      </c>
      <c r="R53" t="str">
        <f t="shared" si="2"/>
        <v>{idk:1, rincian:'Rincian 242', kondisi: '&gt;0', fatal:1},</v>
      </c>
    </row>
    <row r="54" spans="1:18" x14ac:dyDescent="0.25">
      <c r="A54" s="8">
        <v>1</v>
      </c>
      <c r="B54" s="9">
        <v>301</v>
      </c>
      <c r="C54" s="12" t="s">
        <v>4</v>
      </c>
      <c r="D54" s="9">
        <v>243</v>
      </c>
      <c r="E54" s="8" t="s">
        <v>4</v>
      </c>
      <c r="F54" s="8">
        <v>2</v>
      </c>
      <c r="G54" s="8">
        <v>243</v>
      </c>
      <c r="H54" s="8">
        <v>3</v>
      </c>
      <c r="I54" s="8">
        <v>0</v>
      </c>
      <c r="J54" t="str">
        <f t="shared" si="0"/>
        <v>301&gt;0</v>
      </c>
      <c r="K54" t="str">
        <v>1104=1</v>
      </c>
      <c r="L54">
        <v>52</v>
      </c>
      <c r="N54" t="str">
        <f t="shared" si="1"/>
        <v>{label:'Rincian 1104=1' , value:52},</v>
      </c>
      <c r="R54" t="str">
        <f t="shared" si="2"/>
        <v>{idk:1, rincian:'Rincian 243', kondisi: '&gt;0', fatal:2},</v>
      </c>
    </row>
    <row r="55" spans="1:18" x14ac:dyDescent="0.25">
      <c r="A55" s="8">
        <v>1</v>
      </c>
      <c r="B55" s="9">
        <v>301</v>
      </c>
      <c r="C55" s="12" t="s">
        <v>4</v>
      </c>
      <c r="D55" s="9">
        <v>247</v>
      </c>
      <c r="E55" s="8" t="s">
        <v>4</v>
      </c>
      <c r="F55" s="8">
        <v>2</v>
      </c>
      <c r="G55" s="8">
        <v>247</v>
      </c>
      <c r="H55" s="8">
        <v>3</v>
      </c>
      <c r="I55" s="8">
        <v>0</v>
      </c>
      <c r="J55" t="str">
        <f t="shared" si="0"/>
        <v>301&gt;0</v>
      </c>
      <c r="K55" t="str">
        <v>1303=B</v>
      </c>
      <c r="L55">
        <v>53</v>
      </c>
      <c r="N55" t="str">
        <f t="shared" si="1"/>
        <v>{label:'Rincian 1303=B' , value:53},</v>
      </c>
      <c r="R55" t="str">
        <f t="shared" si="2"/>
        <v>{idk:1, rincian:'Rincian 247', kondisi: '&gt;0', fatal:2},</v>
      </c>
    </row>
    <row r="56" spans="1:18" x14ac:dyDescent="0.25">
      <c r="A56" s="8">
        <v>4</v>
      </c>
      <c r="B56" s="9">
        <v>407</v>
      </c>
      <c r="C56" s="12" t="s">
        <v>3</v>
      </c>
      <c r="D56" s="9">
        <v>247</v>
      </c>
      <c r="E56" s="8" t="s">
        <v>4</v>
      </c>
      <c r="F56" s="8">
        <v>2</v>
      </c>
      <c r="G56" s="8">
        <v>247</v>
      </c>
      <c r="H56" s="8">
        <v>3</v>
      </c>
      <c r="I56" s="8">
        <v>0</v>
      </c>
      <c r="J56" t="str">
        <f t="shared" si="0"/>
        <v>407&lt;5</v>
      </c>
      <c r="K56" t="str">
        <v>1606=1</v>
      </c>
      <c r="L56">
        <v>54</v>
      </c>
      <c r="N56" t="str">
        <f t="shared" si="1"/>
        <v>{label:'Rincian 1606=1' , value:54},</v>
      </c>
      <c r="R56" t="str">
        <f t="shared" si="2"/>
        <v>{idk:4, rincian:'Rincian 247', kondisi: '&gt;0', fatal:2},</v>
      </c>
    </row>
    <row r="57" spans="1:18" x14ac:dyDescent="0.25">
      <c r="A57" s="8">
        <v>24</v>
      </c>
      <c r="B57" s="9">
        <v>1107</v>
      </c>
      <c r="C57" s="12" t="s">
        <v>16</v>
      </c>
      <c r="D57" s="9">
        <v>248</v>
      </c>
      <c r="E57" s="8" t="s">
        <v>4</v>
      </c>
      <c r="F57" s="8">
        <v>1</v>
      </c>
      <c r="G57" s="8">
        <v>248</v>
      </c>
      <c r="H57" s="8">
        <v>3</v>
      </c>
      <c r="I57" s="8">
        <v>0</v>
      </c>
      <c r="J57" t="str">
        <f t="shared" si="0"/>
        <v>1107=A</v>
      </c>
      <c r="K57" t="str">
        <v>1404 Tanggal &lt; 1 tahun lalu</v>
      </c>
      <c r="L57">
        <v>55</v>
      </c>
      <c r="N57" t="str">
        <f t="shared" si="1"/>
        <v>{label:'Rincian 1404 Tanggal &lt; 1 tahun lalu' , value:55},</v>
      </c>
      <c r="R57" t="str">
        <f t="shared" si="2"/>
        <v>{idk:24, rincian:'Rincian 248', kondisi: '&gt;0', fatal:1},</v>
      </c>
    </row>
    <row r="58" spans="1:18" x14ac:dyDescent="0.25">
      <c r="A58" s="8">
        <v>32</v>
      </c>
      <c r="B58" s="9">
        <v>1202</v>
      </c>
      <c r="C58" s="12" t="s">
        <v>16</v>
      </c>
      <c r="D58" s="9">
        <v>248</v>
      </c>
      <c r="E58" s="8" t="s">
        <v>4</v>
      </c>
      <c r="F58" s="8">
        <v>1</v>
      </c>
      <c r="G58" s="8">
        <v>248</v>
      </c>
      <c r="H58" s="8">
        <v>3</v>
      </c>
      <c r="I58" s="8">
        <v>0</v>
      </c>
      <c r="J58" t="str">
        <f t="shared" si="0"/>
        <v>1202=A</v>
      </c>
      <c r="K58" t="str">
        <v>1406= 1 dan usia &lt; 21 bulan</v>
      </c>
      <c r="L58">
        <v>56</v>
      </c>
      <c r="N58" t="str">
        <f t="shared" si="1"/>
        <v>{label:'Rincian 1406= 1 dan usia &lt; 21 bulan' , value:56},</v>
      </c>
      <c r="R58" t="str">
        <f t="shared" si="2"/>
        <v>{idk:32, rincian:'Rincian 248', kondisi: '&gt;0', fatal:1},</v>
      </c>
    </row>
    <row r="59" spans="1:18" x14ac:dyDescent="0.25">
      <c r="A59" s="8">
        <v>44</v>
      </c>
      <c r="B59" s="9" t="s">
        <v>30</v>
      </c>
      <c r="C59" s="12" t="s">
        <v>32</v>
      </c>
      <c r="D59" s="9" t="s">
        <v>31</v>
      </c>
      <c r="E59" s="8" t="s">
        <v>4</v>
      </c>
      <c r="F59" s="8">
        <v>1</v>
      </c>
      <c r="G59" s="8">
        <v>248</v>
      </c>
      <c r="H59" s="8">
        <v>7</v>
      </c>
      <c r="I59" s="8">
        <v>0</v>
      </c>
      <c r="J59" t="str">
        <f t="shared" si="0"/>
        <v>1504A=1 dan umur anak &lt; 1 tahun</v>
      </c>
      <c r="K59" t="str">
        <v>1602=4,6,7,8</v>
      </c>
      <c r="L59">
        <v>57</v>
      </c>
      <c r="N59" t="str">
        <f t="shared" si="1"/>
        <v>{label:'Rincian 1602=4,6,7,8' , value:57},</v>
      </c>
      <c r="R59" t="str">
        <f t="shared" si="2"/>
        <v>{idk:44, rincian:'Rincian 248+249', kondisi: '&gt;0', fatal:1},</v>
      </c>
    </row>
    <row r="60" spans="1:18" x14ac:dyDescent="0.25">
      <c r="A60" s="8">
        <v>25</v>
      </c>
      <c r="B60" s="9">
        <v>1107</v>
      </c>
      <c r="C60" s="12" t="s">
        <v>18</v>
      </c>
      <c r="D60" s="9">
        <v>249</v>
      </c>
      <c r="E60" s="8" t="s">
        <v>4</v>
      </c>
      <c r="F60" s="8">
        <v>1</v>
      </c>
      <c r="G60" s="8">
        <v>249</v>
      </c>
      <c r="H60" s="8">
        <v>3</v>
      </c>
      <c r="I60" s="8">
        <v>0</v>
      </c>
      <c r="J60" t="str">
        <f t="shared" si="0"/>
        <v>1107=B</v>
      </c>
      <c r="K60" t="str">
        <v>610=2</v>
      </c>
      <c r="L60">
        <v>58</v>
      </c>
      <c r="N60" t="str">
        <f t="shared" si="1"/>
        <v>{label:'Rincian 610=2' , value:58},</v>
      </c>
      <c r="R60" t="str">
        <f t="shared" si="2"/>
        <v>{idk:25, rincian:'Rincian 249', kondisi: '&gt;0', fatal:1},</v>
      </c>
    </row>
    <row r="61" spans="1:18" x14ac:dyDescent="0.25">
      <c r="A61" s="8">
        <v>33</v>
      </c>
      <c r="B61" s="9">
        <v>1202</v>
      </c>
      <c r="C61" s="12" t="s">
        <v>18</v>
      </c>
      <c r="D61" s="9">
        <v>249</v>
      </c>
      <c r="E61" s="8" t="s">
        <v>4</v>
      </c>
      <c r="F61" s="8">
        <v>1</v>
      </c>
      <c r="G61" s="8">
        <v>249</v>
      </c>
      <c r="H61" s="8">
        <v>3</v>
      </c>
      <c r="I61" s="8">
        <v>0</v>
      </c>
      <c r="J61" t="str">
        <f t="shared" si="0"/>
        <v>1202=B</v>
      </c>
      <c r="K61" t="str">
        <v>619=2</v>
      </c>
      <c r="L61">
        <v>59</v>
      </c>
      <c r="N61" t="str">
        <f t="shared" si="1"/>
        <v>{label:'Rincian 619=2' , value:59},</v>
      </c>
      <c r="R61" t="str">
        <f t="shared" si="2"/>
        <v>{idk:33, rincian:'Rincian 249', kondisi: '&gt;0', fatal:1},</v>
      </c>
    </row>
    <row r="62" spans="1:18" x14ac:dyDescent="0.25">
      <c r="A62" s="8">
        <v>28</v>
      </c>
      <c r="B62" s="9">
        <v>1107</v>
      </c>
      <c r="C62" s="12" t="s">
        <v>21</v>
      </c>
      <c r="D62" s="9">
        <v>250</v>
      </c>
      <c r="E62" s="8" t="s">
        <v>4</v>
      </c>
      <c r="F62" s="8">
        <v>1</v>
      </c>
      <c r="G62" s="8">
        <v>250</v>
      </c>
      <c r="H62" s="8">
        <v>3</v>
      </c>
      <c r="I62" s="8">
        <v>0</v>
      </c>
      <c r="J62" t="str">
        <f t="shared" si="0"/>
        <v>1107=E</v>
      </c>
      <c r="K62" t="str">
        <v>605=1,2</v>
      </c>
      <c r="L62">
        <v>60</v>
      </c>
      <c r="N62" t="str">
        <f t="shared" si="1"/>
        <v>{label:'Rincian 605=1,2' , value:60},</v>
      </c>
      <c r="R62" t="str">
        <f t="shared" si="2"/>
        <v>{idk:28, rincian:'Rincian 250', kondisi: '&gt;0', fatal:1},</v>
      </c>
    </row>
    <row r="63" spans="1:18" x14ac:dyDescent="0.25">
      <c r="A63" s="8">
        <v>29</v>
      </c>
      <c r="B63" s="9">
        <v>1107</v>
      </c>
      <c r="C63" s="12" t="s">
        <v>22</v>
      </c>
      <c r="D63" s="9">
        <v>250</v>
      </c>
      <c r="E63" s="8" t="s">
        <v>4</v>
      </c>
      <c r="F63" s="8">
        <v>1</v>
      </c>
      <c r="G63" s="8">
        <v>250</v>
      </c>
      <c r="H63" s="8">
        <v>3</v>
      </c>
      <c r="I63" s="8">
        <v>0</v>
      </c>
      <c r="J63" t="str">
        <f t="shared" si="0"/>
        <v>1107=F</v>
      </c>
      <c r="K63" t="str">
        <v>903&gt;0</v>
      </c>
      <c r="L63">
        <v>61</v>
      </c>
      <c r="N63" t="str">
        <f t="shared" si="1"/>
        <v>{label:'Rincian 903&gt;0' , value:61},</v>
      </c>
      <c r="R63" t="str">
        <f t="shared" si="2"/>
        <v>{idk:29, rincian:'Rincian 250', kondisi: '&gt;0', fatal:1},</v>
      </c>
    </row>
    <row r="64" spans="1:18" x14ac:dyDescent="0.25">
      <c r="A64" s="8">
        <v>36</v>
      </c>
      <c r="B64" s="9">
        <v>1202</v>
      </c>
      <c r="C64" s="12" t="s">
        <v>21</v>
      </c>
      <c r="D64" s="9">
        <v>250</v>
      </c>
      <c r="E64" s="8" t="s">
        <v>4</v>
      </c>
      <c r="F64" s="8">
        <v>1</v>
      </c>
      <c r="G64" s="8">
        <v>250</v>
      </c>
      <c r="H64" s="8">
        <v>3</v>
      </c>
      <c r="I64" s="8">
        <v>0</v>
      </c>
      <c r="J64" t="str">
        <f t="shared" si="0"/>
        <v>1202=E</v>
      </c>
      <c r="K64" t="str">
        <v>403=8</v>
      </c>
      <c r="L64">
        <v>62</v>
      </c>
      <c r="N64" t="str">
        <f t="shared" si="1"/>
        <v>{label:'Rincian 403=8' , value:62},</v>
      </c>
      <c r="R64" t="str">
        <f t="shared" si="2"/>
        <v>{idk:36, rincian:'Rincian 250', kondisi: '&gt;0', fatal:1},</v>
      </c>
    </row>
    <row r="65" spans="1:18" x14ac:dyDescent="0.25">
      <c r="A65" s="8">
        <v>46</v>
      </c>
      <c r="B65" s="9" t="s">
        <v>30</v>
      </c>
      <c r="C65" s="12" t="s">
        <v>34</v>
      </c>
      <c r="D65" s="9">
        <v>250</v>
      </c>
      <c r="E65" s="8" t="s">
        <v>4</v>
      </c>
      <c r="F65" s="8">
        <v>1</v>
      </c>
      <c r="G65" s="8">
        <v>250</v>
      </c>
      <c r="H65" s="8">
        <v>3</v>
      </c>
      <c r="I65" s="8">
        <v>0</v>
      </c>
      <c r="J65" t="str">
        <f t="shared" si="0"/>
        <v>1504A=3,4,6 dan umur anak &lt; 1 tahun</v>
      </c>
      <c r="K65" t="str">
        <v>701=1</v>
      </c>
      <c r="L65">
        <v>63</v>
      </c>
      <c r="N65" t="str">
        <f t="shared" si="1"/>
        <v>{label:'Rincian 701=1' , value:63},</v>
      </c>
      <c r="R65" t="str">
        <f t="shared" si="2"/>
        <v>{idk:46, rincian:'Rincian 250', kondisi: '&gt;0', fatal:1},</v>
      </c>
    </row>
    <row r="66" spans="1:18" x14ac:dyDescent="0.25">
      <c r="A66" s="8">
        <v>27</v>
      </c>
      <c r="B66" s="9">
        <v>1107</v>
      </c>
      <c r="C66" s="12" t="s">
        <v>20</v>
      </c>
      <c r="D66" s="9">
        <v>251</v>
      </c>
      <c r="E66" s="8" t="s">
        <v>4</v>
      </c>
      <c r="F66" s="8">
        <v>1</v>
      </c>
      <c r="G66" s="8">
        <v>251</v>
      </c>
      <c r="H66" s="8">
        <v>3</v>
      </c>
      <c r="I66" s="8">
        <v>0</v>
      </c>
      <c r="J66" t="str">
        <f t="shared" si="0"/>
        <v>1107=D</v>
      </c>
      <c r="K66" t="str">
        <v>2210B=1</v>
      </c>
      <c r="L66">
        <v>64</v>
      </c>
      <c r="N66" t="str">
        <f t="shared" si="1"/>
        <v>{label:'Rincian 2210B=1' , value:64},</v>
      </c>
      <c r="R66" t="str">
        <f t="shared" si="2"/>
        <v>{idk:27, rincian:'Rincian 251', kondisi: '&gt;0', fatal:1},</v>
      </c>
    </row>
    <row r="67" spans="1:18" x14ac:dyDescent="0.25">
      <c r="A67" s="8">
        <v>35</v>
      </c>
      <c r="B67" s="9">
        <v>1202</v>
      </c>
      <c r="C67" s="12" t="s">
        <v>20</v>
      </c>
      <c r="D67" s="9">
        <v>251</v>
      </c>
      <c r="E67" s="8" t="s">
        <v>4</v>
      </c>
      <c r="F67" s="8">
        <v>1</v>
      </c>
      <c r="G67" s="8">
        <v>251</v>
      </c>
      <c r="H67" s="8">
        <v>3</v>
      </c>
      <c r="I67" s="8">
        <v>0</v>
      </c>
      <c r="J67" t="str">
        <f t="shared" si="0"/>
        <v>1202=D</v>
      </c>
      <c r="K67" t="str">
        <v>616=1</v>
      </c>
      <c r="L67">
        <v>65</v>
      </c>
      <c r="N67" t="str">
        <f t="shared" si="1"/>
        <v>{label:'Rincian 616=1' , value:65},</v>
      </c>
      <c r="R67" t="str">
        <f t="shared" si="2"/>
        <v>{idk:35, rincian:'Rincian 251', kondisi: '&gt;0', fatal:1},</v>
      </c>
    </row>
    <row r="68" spans="1:18" x14ac:dyDescent="0.25">
      <c r="A68" s="8">
        <v>45</v>
      </c>
      <c r="B68" s="9" t="s">
        <v>30</v>
      </c>
      <c r="C68" s="12" t="s">
        <v>33</v>
      </c>
      <c r="D68" s="9">
        <v>251</v>
      </c>
      <c r="E68" s="8" t="s">
        <v>4</v>
      </c>
      <c r="F68" s="8">
        <v>1</v>
      </c>
      <c r="G68" s="8">
        <v>251</v>
      </c>
      <c r="H68" s="8">
        <v>3</v>
      </c>
      <c r="I68" s="8">
        <v>0</v>
      </c>
      <c r="J68" t="str">
        <f t="shared" ref="J68:J131" si="3">CONCATENATE(B68,C68)</f>
        <v>1504A=2 dan umur anak &lt; 1 tahun</v>
      </c>
      <c r="K68" t="str">
        <v>1901A=1</v>
      </c>
      <c r="L68">
        <v>66</v>
      </c>
      <c r="N68" t="str">
        <f t="shared" ref="N68:N97" si="4">CONCATENATE("{label:'Rincian ",K68,"' , value:",L68,"},")</f>
        <v>{label:'Rincian 1901A=1' , value:66},</v>
      </c>
      <c r="R68" t="str">
        <f t="shared" ref="R68:R131" si="5">CONCATENATE("{idk:",A68,", rincian:'Rincian ",D68,"', kondisi: '",E68,"', fatal:",F68,"},")</f>
        <v>{idk:45, rincian:'Rincian 251', kondisi: '&gt;0', fatal:1},</v>
      </c>
    </row>
    <row r="69" spans="1:18" x14ac:dyDescent="0.25">
      <c r="A69" s="8">
        <v>31</v>
      </c>
      <c r="B69" s="9">
        <v>1107</v>
      </c>
      <c r="C69" s="12" t="s">
        <v>25</v>
      </c>
      <c r="D69" s="9">
        <v>252</v>
      </c>
      <c r="E69" s="8" t="s">
        <v>4</v>
      </c>
      <c r="F69" s="8">
        <v>1</v>
      </c>
      <c r="G69" s="8">
        <v>252</v>
      </c>
      <c r="H69" s="8">
        <v>3</v>
      </c>
      <c r="I69" s="8">
        <v>0</v>
      </c>
      <c r="J69" t="str">
        <f t="shared" si="3"/>
        <v>1107=H</v>
      </c>
      <c r="K69" t="str">
        <v>1901B=1</v>
      </c>
      <c r="L69">
        <v>67</v>
      </c>
      <c r="N69" t="str">
        <f t="shared" si="4"/>
        <v>{label:'Rincian 1901B=1' , value:67},</v>
      </c>
      <c r="R69" t="str">
        <f t="shared" si="5"/>
        <v>{idk:31, rincian:'Rincian 252', kondisi: '&gt;0', fatal:1},</v>
      </c>
    </row>
    <row r="70" spans="1:18" x14ac:dyDescent="0.25">
      <c r="A70" s="8">
        <v>34</v>
      </c>
      <c r="B70" s="9">
        <v>1202</v>
      </c>
      <c r="C70" s="12" t="s">
        <v>19</v>
      </c>
      <c r="D70" s="9">
        <v>252</v>
      </c>
      <c r="E70" s="8" t="s">
        <v>4</v>
      </c>
      <c r="F70" s="8">
        <v>1</v>
      </c>
      <c r="G70" s="8">
        <v>252</v>
      </c>
      <c r="H70" s="8">
        <v>3</v>
      </c>
      <c r="I70" s="8">
        <v>0</v>
      </c>
      <c r="J70" t="str">
        <f t="shared" si="3"/>
        <v>1202=C</v>
      </c>
      <c r="K70" t="str">
        <v>1901C=1</v>
      </c>
      <c r="L70">
        <v>68</v>
      </c>
      <c r="N70" t="str">
        <f t="shared" si="4"/>
        <v>{label:'Rincian 1901C=1' , value:68},</v>
      </c>
      <c r="R70" t="str">
        <f t="shared" si="5"/>
        <v>{idk:34, rincian:'Rincian 252', kondisi: '&gt;0', fatal:1},</v>
      </c>
    </row>
    <row r="71" spans="1:18" x14ac:dyDescent="0.25">
      <c r="A71" s="8">
        <v>38</v>
      </c>
      <c r="B71" s="9">
        <v>1202</v>
      </c>
      <c r="C71" s="12" t="s">
        <v>23</v>
      </c>
      <c r="D71" s="9">
        <v>252</v>
      </c>
      <c r="E71" s="8" t="s">
        <v>4</v>
      </c>
      <c r="F71" s="8">
        <v>1</v>
      </c>
      <c r="G71" s="8">
        <v>252</v>
      </c>
      <c r="H71" s="8">
        <v>3</v>
      </c>
      <c r="I71" s="8">
        <v>0</v>
      </c>
      <c r="J71" t="str">
        <f t="shared" si="3"/>
        <v>1202=G</v>
      </c>
      <c r="K71" t="str">
        <v>409 - rincian 407&lt;=1</v>
      </c>
      <c r="L71">
        <v>69</v>
      </c>
      <c r="N71" t="str">
        <f t="shared" si="4"/>
        <v>{label:'Rincian 409 - rincian 407&lt;=1' , value:69},</v>
      </c>
      <c r="R71" t="str">
        <f t="shared" si="5"/>
        <v>{idk:38, rincian:'Rincian 252', kondisi: '&gt;0', fatal:1},</v>
      </c>
    </row>
    <row r="72" spans="1:18" x14ac:dyDescent="0.25">
      <c r="A72" s="8">
        <v>47</v>
      </c>
      <c r="B72" s="9" t="s">
        <v>30</v>
      </c>
      <c r="C72" s="8" t="s">
        <v>35</v>
      </c>
      <c r="D72" s="9">
        <v>252</v>
      </c>
      <c r="E72" s="8" t="s">
        <v>4</v>
      </c>
      <c r="F72" s="8">
        <v>1</v>
      </c>
      <c r="G72" s="8">
        <v>252</v>
      </c>
      <c r="H72" s="8">
        <v>3</v>
      </c>
      <c r="I72" s="8">
        <v>0</v>
      </c>
      <c r="J72" t="str">
        <f t="shared" si="3"/>
        <v>1504A=5 dan umur anak &lt; 1 tahun</v>
      </c>
      <c r="K72" t="str">
        <v>2001M=1</v>
      </c>
      <c r="L72">
        <v>70</v>
      </c>
      <c r="N72" t="str">
        <f t="shared" si="4"/>
        <v>{label:'Rincian 2001M=1' , value:70},</v>
      </c>
      <c r="R72" t="str">
        <f t="shared" si="5"/>
        <v>{idk:47, rincian:'Rincian 252', kondisi: '&gt;0', fatal:1},</v>
      </c>
    </row>
    <row r="73" spans="1:18" x14ac:dyDescent="0.25">
      <c r="A73" s="8">
        <v>26</v>
      </c>
      <c r="B73" s="9">
        <v>1107</v>
      </c>
      <c r="C73" s="12" t="s">
        <v>19</v>
      </c>
      <c r="D73" s="9" t="s">
        <v>24</v>
      </c>
      <c r="E73" s="8" t="s">
        <v>4</v>
      </c>
      <c r="F73" s="8">
        <v>1</v>
      </c>
      <c r="G73" s="8">
        <v>252</v>
      </c>
      <c r="H73" s="8">
        <v>7</v>
      </c>
      <c r="I73" s="8">
        <v>0</v>
      </c>
      <c r="J73" t="str">
        <f t="shared" si="3"/>
        <v>1107=C</v>
      </c>
      <c r="K73" t="str">
        <v>1101=A,B,C,D</v>
      </c>
      <c r="L73">
        <v>71</v>
      </c>
      <c r="N73" t="str">
        <f t="shared" si="4"/>
        <v>{label:'Rincian 1101=A,B,C,D' , value:71},</v>
      </c>
      <c r="R73" t="str">
        <f t="shared" si="5"/>
        <v>{idk:26, rincian:'Rincian 251+252', kondisi: '&gt;0', fatal:1},</v>
      </c>
    </row>
    <row r="74" spans="1:18" x14ac:dyDescent="0.25">
      <c r="A74" s="8">
        <v>30</v>
      </c>
      <c r="B74" s="9">
        <v>1107</v>
      </c>
      <c r="C74" s="12" t="s">
        <v>23</v>
      </c>
      <c r="D74" s="9">
        <v>253</v>
      </c>
      <c r="E74" s="8" t="s">
        <v>4</v>
      </c>
      <c r="F74" s="8">
        <v>1</v>
      </c>
      <c r="G74" s="8">
        <v>253</v>
      </c>
      <c r="H74" s="8">
        <v>3</v>
      </c>
      <c r="I74" s="8">
        <v>0</v>
      </c>
      <c r="J74" t="str">
        <f t="shared" si="3"/>
        <v>1107=G</v>
      </c>
      <c r="K74" t="str">
        <v>2201C=1</v>
      </c>
      <c r="L74">
        <v>72</v>
      </c>
      <c r="N74" t="str">
        <f t="shared" si="4"/>
        <v>{label:'Rincian 2201C=1' , value:72},</v>
      </c>
      <c r="R74" t="str">
        <f t="shared" si="5"/>
        <v>{idk:30, rincian:'Rincian 253', kondisi: '&gt;0', fatal:1},</v>
      </c>
    </row>
    <row r="75" spans="1:18" x14ac:dyDescent="0.25">
      <c r="A75" s="8">
        <v>37</v>
      </c>
      <c r="B75" s="9">
        <v>1202</v>
      </c>
      <c r="C75" s="12" t="s">
        <v>22</v>
      </c>
      <c r="D75" s="9">
        <v>253</v>
      </c>
      <c r="E75" s="8" t="s">
        <v>4</v>
      </c>
      <c r="F75" s="8">
        <v>1</v>
      </c>
      <c r="G75" s="8">
        <v>253</v>
      </c>
      <c r="H75" s="8">
        <v>3</v>
      </c>
      <c r="I75" s="8">
        <v>0</v>
      </c>
      <c r="J75" t="str">
        <f t="shared" si="3"/>
        <v>1202=F</v>
      </c>
      <c r="K75" t="str">
        <v>2201D=1</v>
      </c>
      <c r="L75">
        <v>73</v>
      </c>
      <c r="N75" t="str">
        <f t="shared" si="4"/>
        <v>{label:'Rincian 2201D=1' , value:73},</v>
      </c>
      <c r="R75" t="str">
        <f t="shared" si="5"/>
        <v>{idk:37, rincian:'Rincian 253', kondisi: '&gt;0', fatal:1},</v>
      </c>
    </row>
    <row r="76" spans="1:18" x14ac:dyDescent="0.25">
      <c r="A76" s="21">
        <v>48</v>
      </c>
      <c r="B76" s="9" t="s">
        <v>36</v>
      </c>
      <c r="C76" s="22" t="s">
        <v>120</v>
      </c>
      <c r="D76" s="9">
        <v>254</v>
      </c>
      <c r="E76" s="8" t="s">
        <v>4</v>
      </c>
      <c r="F76" s="8">
        <v>1</v>
      </c>
      <c r="G76" s="8">
        <v>254</v>
      </c>
      <c r="H76" s="8">
        <v>3</v>
      </c>
      <c r="I76" s="8">
        <v>0</v>
      </c>
      <c r="J76" t="str">
        <f t="shared" si="3"/>
        <v>1504B=6 dan umur anak &lt; 1 tahun</v>
      </c>
      <c r="K76" t="str">
        <v>706=4,5</v>
      </c>
      <c r="L76">
        <v>74</v>
      </c>
      <c r="N76" t="str">
        <f t="shared" si="4"/>
        <v>{label:'Rincian 706=4,5' , value:74},</v>
      </c>
      <c r="R76" t="str">
        <f t="shared" si="5"/>
        <v>{idk:48, rincian:'Rincian 254', kondisi: '&gt;0', fatal:1},</v>
      </c>
    </row>
    <row r="77" spans="1:18" x14ac:dyDescent="0.25">
      <c r="A77" s="8">
        <v>3</v>
      </c>
      <c r="B77" s="9">
        <v>407</v>
      </c>
      <c r="C77" s="12" t="s">
        <v>2</v>
      </c>
      <c r="D77" s="9">
        <v>254</v>
      </c>
      <c r="E77" s="8" t="s">
        <v>4</v>
      </c>
      <c r="F77" s="8">
        <v>2</v>
      </c>
      <c r="G77" s="8">
        <v>254</v>
      </c>
      <c r="H77" s="8">
        <v>3</v>
      </c>
      <c r="I77" s="8">
        <v>0</v>
      </c>
      <c r="J77" t="str">
        <f t="shared" si="3"/>
        <v>407&lt;1</v>
      </c>
      <c r="K77" t="str">
        <v>706=1,2,3</v>
      </c>
      <c r="L77">
        <v>75</v>
      </c>
      <c r="N77" t="str">
        <f t="shared" si="4"/>
        <v>{label:'Rincian 706=1,2,3' , value:75},</v>
      </c>
      <c r="R77" t="str">
        <f t="shared" si="5"/>
        <v>{idk:3, rincian:'Rincian 254', kondisi: '&gt;0', fatal:2},</v>
      </c>
    </row>
    <row r="78" spans="1:18" x14ac:dyDescent="0.25">
      <c r="A78" s="8">
        <v>23</v>
      </c>
      <c r="B78" s="9">
        <v>1104</v>
      </c>
      <c r="C78" s="12" t="s">
        <v>8</v>
      </c>
      <c r="D78" s="9" t="s">
        <v>82</v>
      </c>
      <c r="E78" s="8" t="s">
        <v>4</v>
      </c>
      <c r="F78" s="8">
        <v>1</v>
      </c>
      <c r="G78" s="8">
        <v>255</v>
      </c>
      <c r="H78" s="8">
        <v>15</v>
      </c>
      <c r="I78" s="8">
        <v>0</v>
      </c>
      <c r="J78" t="str">
        <f t="shared" si="3"/>
        <v>1104=1</v>
      </c>
      <c r="K78" t="str">
        <v>1901=1</v>
      </c>
      <c r="L78">
        <v>76</v>
      </c>
      <c r="N78" t="str">
        <f t="shared" si="4"/>
        <v>{label:'Rincian 1901=1' , value:76},</v>
      </c>
      <c r="R78" t="str">
        <f t="shared" si="5"/>
        <v>{idk:23, rincian:'Rincian 255+256+257+258', kondisi: '&gt;0', fatal:1},</v>
      </c>
    </row>
    <row r="79" spans="1:18" x14ac:dyDescent="0.25">
      <c r="A79" s="20">
        <v>41</v>
      </c>
      <c r="B79" s="9">
        <v>1303</v>
      </c>
      <c r="C79" s="12" t="s">
        <v>18</v>
      </c>
      <c r="D79" s="9" t="s">
        <v>82</v>
      </c>
      <c r="E79" s="8" t="s">
        <v>4</v>
      </c>
      <c r="F79" s="8">
        <v>1</v>
      </c>
      <c r="G79" s="8">
        <v>255</v>
      </c>
      <c r="H79" s="8">
        <v>15</v>
      </c>
      <c r="I79" s="8">
        <v>0</v>
      </c>
      <c r="J79" t="str">
        <f t="shared" si="3"/>
        <v>1303=B</v>
      </c>
      <c r="K79" t="str">
        <v>1901E=1</v>
      </c>
      <c r="L79">
        <v>77</v>
      </c>
      <c r="N79" t="str">
        <f t="shared" si="4"/>
        <v>{label:'Rincian 1901E=1' , value:77},</v>
      </c>
      <c r="R79" t="str">
        <f t="shared" si="5"/>
        <v>{idk:41, rincian:'Rincian 255+256+257+258', kondisi: '&gt;0', fatal:1},</v>
      </c>
    </row>
    <row r="80" spans="1:18" x14ac:dyDescent="0.25">
      <c r="A80" s="20">
        <v>50</v>
      </c>
      <c r="B80" s="9">
        <v>1606</v>
      </c>
      <c r="C80" s="12" t="s">
        <v>8</v>
      </c>
      <c r="D80" s="9">
        <v>259</v>
      </c>
      <c r="E80" s="8" t="s">
        <v>4</v>
      </c>
      <c r="F80" s="8">
        <v>1</v>
      </c>
      <c r="G80" s="8">
        <v>259</v>
      </c>
      <c r="H80" s="8">
        <v>3</v>
      </c>
      <c r="I80" s="8">
        <v>0</v>
      </c>
      <c r="J80" t="str">
        <f t="shared" si="3"/>
        <v>1606=1</v>
      </c>
      <c r="K80" t="str">
        <v>2101A=3</v>
      </c>
      <c r="L80">
        <v>78</v>
      </c>
      <c r="N80" t="str">
        <f t="shared" si="4"/>
        <v>{label:'Rincian 2101A=3' , value:78},</v>
      </c>
      <c r="R80" t="str">
        <f t="shared" si="5"/>
        <v>{idk:50, rincian:'Rincian 259', kondisi: '&gt;0', fatal:1},</v>
      </c>
    </row>
    <row r="81" spans="1:18" x14ac:dyDescent="0.25">
      <c r="A81" s="8">
        <v>3</v>
      </c>
      <c r="B81" s="9">
        <v>407</v>
      </c>
      <c r="C81" s="8" t="s">
        <v>2</v>
      </c>
      <c r="D81" s="9">
        <v>259</v>
      </c>
      <c r="E81" s="8" t="s">
        <v>4</v>
      </c>
      <c r="F81" s="8">
        <v>2</v>
      </c>
      <c r="G81" s="8">
        <v>259</v>
      </c>
      <c r="H81" s="8">
        <v>3</v>
      </c>
      <c r="I81" s="8">
        <v>0</v>
      </c>
      <c r="J81" t="str">
        <f t="shared" si="3"/>
        <v>407&lt;1</v>
      </c>
      <c r="K81" t="str">
        <v>2101A=4</v>
      </c>
      <c r="L81">
        <v>79</v>
      </c>
      <c r="N81" t="str">
        <f t="shared" si="4"/>
        <v>{label:'Rincian 2101A=4' , value:79},</v>
      </c>
      <c r="R81" t="str">
        <f t="shared" si="5"/>
        <v>{idk:3, rincian:'Rincian 259', kondisi: '&gt;0', fatal:2},</v>
      </c>
    </row>
    <row r="82" spans="1:18" x14ac:dyDescent="0.25">
      <c r="A82" s="8">
        <v>42</v>
      </c>
      <c r="B82" s="9">
        <v>1404</v>
      </c>
      <c r="C82" s="12" t="s">
        <v>91</v>
      </c>
      <c r="D82" s="9">
        <v>260</v>
      </c>
      <c r="E82" s="8" t="s">
        <v>4</v>
      </c>
      <c r="F82" s="8">
        <v>1</v>
      </c>
      <c r="G82" s="8">
        <v>260</v>
      </c>
      <c r="H82" s="8">
        <v>3</v>
      </c>
      <c r="I82" s="8">
        <v>0</v>
      </c>
      <c r="J82" t="str">
        <f t="shared" si="3"/>
        <v>1404 Tanggal &lt; 1 tahun lalu</v>
      </c>
      <c r="K82" t="str">
        <v>617=1</v>
      </c>
      <c r="L82">
        <v>80</v>
      </c>
      <c r="N82" t="str">
        <f t="shared" si="4"/>
        <v>{label:'Rincian 617=1' , value:80},</v>
      </c>
      <c r="R82" t="str">
        <f t="shared" si="5"/>
        <v>{idk:42, rincian:'Rincian 260', kondisi: '&gt;0', fatal:1},</v>
      </c>
    </row>
    <row r="83" spans="1:18" x14ac:dyDescent="0.25">
      <c r="A83" s="8">
        <v>43</v>
      </c>
      <c r="B83" s="9">
        <v>1406</v>
      </c>
      <c r="C83" s="8" t="s">
        <v>28</v>
      </c>
      <c r="D83" s="9">
        <v>260</v>
      </c>
      <c r="E83" s="8" t="s">
        <v>4</v>
      </c>
      <c r="F83" s="8">
        <v>1</v>
      </c>
      <c r="G83" s="8">
        <v>260</v>
      </c>
      <c r="H83" s="8">
        <v>3</v>
      </c>
      <c r="I83" s="8">
        <v>0</v>
      </c>
      <c r="J83" t="str">
        <f t="shared" si="3"/>
        <v>1406= 1 dan usia &lt; 21 bulan</v>
      </c>
      <c r="K83" t="str">
        <v>2203=1</v>
      </c>
      <c r="L83">
        <v>81</v>
      </c>
      <c r="N83" t="str">
        <f t="shared" si="4"/>
        <v>{label:'Rincian 2203=1' , value:81},</v>
      </c>
      <c r="R83" t="str">
        <f t="shared" si="5"/>
        <v>{idk:43, rincian:'Rincian 260', kondisi: '&gt;0', fatal:1},</v>
      </c>
    </row>
    <row r="84" spans="1:18" x14ac:dyDescent="0.25">
      <c r="A84" s="8">
        <v>49</v>
      </c>
      <c r="B84" s="9">
        <v>1602</v>
      </c>
      <c r="C84" s="12" t="s">
        <v>38</v>
      </c>
      <c r="D84" s="9">
        <v>263</v>
      </c>
      <c r="E84" s="8" t="s">
        <v>4</v>
      </c>
      <c r="F84" s="8">
        <v>1</v>
      </c>
      <c r="G84" s="8">
        <v>263</v>
      </c>
      <c r="H84" s="8">
        <v>3</v>
      </c>
      <c r="I84" s="8">
        <v>0</v>
      </c>
      <c r="J84" t="str">
        <f t="shared" si="3"/>
        <v>1602=4,6,7,8</v>
      </c>
      <c r="K84" t="str">
        <v>2205A=1</v>
      </c>
      <c r="L84">
        <v>82</v>
      </c>
      <c r="N84" t="str">
        <f t="shared" si="4"/>
        <v>{label:'Rincian 2205A=1' , value:82},</v>
      </c>
      <c r="R84" t="str">
        <f t="shared" si="5"/>
        <v>{idk:49, rincian:'Rincian 263', kondisi: '&gt;0', fatal:1},</v>
      </c>
    </row>
    <row r="85" spans="1:18" x14ac:dyDescent="0.25">
      <c r="A85" s="20">
        <v>50</v>
      </c>
      <c r="B85" s="9">
        <v>1606</v>
      </c>
      <c r="C85" s="8" t="s">
        <v>8</v>
      </c>
      <c r="D85" s="9">
        <v>264</v>
      </c>
      <c r="E85" s="8" t="s">
        <v>4</v>
      </c>
      <c r="F85" s="8">
        <v>1</v>
      </c>
      <c r="G85" s="8">
        <v>264</v>
      </c>
      <c r="H85" s="8">
        <v>3</v>
      </c>
      <c r="I85" s="8">
        <v>0</v>
      </c>
      <c r="J85" t="str">
        <f t="shared" si="3"/>
        <v>1606=1</v>
      </c>
      <c r="K85" t="str">
        <v>2205B=1</v>
      </c>
      <c r="L85">
        <v>83</v>
      </c>
      <c r="N85" t="str">
        <f t="shared" si="4"/>
        <v>{label:'Rincian 2205B=1' , value:83},</v>
      </c>
      <c r="R85" t="str">
        <f t="shared" si="5"/>
        <v>{idk:50, rincian:'Rincian 264', kondisi: '&gt;0', fatal:1},</v>
      </c>
    </row>
    <row r="86" spans="1:18" x14ac:dyDescent="0.25">
      <c r="A86" s="8">
        <v>3</v>
      </c>
      <c r="B86" s="9">
        <v>407</v>
      </c>
      <c r="C86" s="12" t="s">
        <v>2</v>
      </c>
      <c r="D86" s="9">
        <v>264</v>
      </c>
      <c r="E86" s="8" t="s">
        <v>4</v>
      </c>
      <c r="F86" s="8">
        <v>2</v>
      </c>
      <c r="G86" s="8">
        <v>264</v>
      </c>
      <c r="H86" s="8">
        <v>3</v>
      </c>
      <c r="I86" s="8">
        <v>0</v>
      </c>
      <c r="J86" t="str">
        <f t="shared" si="3"/>
        <v>407&lt;1</v>
      </c>
      <c r="K86" t="str">
        <v>2206=1</v>
      </c>
      <c r="L86">
        <v>84</v>
      </c>
      <c r="N86" t="str">
        <f t="shared" si="4"/>
        <v>{label:'Rincian 2206=1' , value:84},</v>
      </c>
      <c r="R86" t="str">
        <f t="shared" si="5"/>
        <v>{idk:3, rincian:'Rincian 264', kondisi: '&gt;0', fatal:2},</v>
      </c>
    </row>
    <row r="87" spans="1:18" x14ac:dyDescent="0.25">
      <c r="A87" s="8">
        <v>7</v>
      </c>
      <c r="B87" s="9">
        <v>610</v>
      </c>
      <c r="C87" s="8" t="s">
        <v>7</v>
      </c>
      <c r="D87" s="9">
        <v>265</v>
      </c>
      <c r="E87" s="8" t="s">
        <v>4</v>
      </c>
      <c r="F87" s="8">
        <v>1</v>
      </c>
      <c r="G87" s="8">
        <v>265</v>
      </c>
      <c r="H87" s="8">
        <v>3</v>
      </c>
      <c r="I87" s="8">
        <v>0</v>
      </c>
      <c r="J87" t="str">
        <f t="shared" si="3"/>
        <v>610=2</v>
      </c>
      <c r="K87" t="str">
        <v>2207=1</v>
      </c>
      <c r="L87">
        <v>85</v>
      </c>
      <c r="N87" t="str">
        <f t="shared" si="4"/>
        <v>{label:'Rincian 2207=1' , value:85},</v>
      </c>
      <c r="R87" t="str">
        <f t="shared" si="5"/>
        <v>{idk:7, rincian:'Rincian 265', kondisi: '&gt;0', fatal:1},</v>
      </c>
    </row>
    <row r="88" spans="1:18" x14ac:dyDescent="0.25">
      <c r="A88" s="8">
        <v>7</v>
      </c>
      <c r="B88" s="9">
        <v>610</v>
      </c>
      <c r="C88" s="8" t="s">
        <v>7</v>
      </c>
      <c r="D88" s="9">
        <v>266</v>
      </c>
      <c r="E88" s="8" t="s">
        <v>4</v>
      </c>
      <c r="F88" s="8">
        <v>1</v>
      </c>
      <c r="G88" s="8">
        <v>266</v>
      </c>
      <c r="H88" s="8">
        <v>3</v>
      </c>
      <c r="I88" s="8">
        <v>0</v>
      </c>
      <c r="J88" t="str">
        <f t="shared" si="3"/>
        <v>610=2</v>
      </c>
      <c r="K88" t="str">
        <v>2209A=1</v>
      </c>
      <c r="L88">
        <v>86</v>
      </c>
      <c r="N88" t="str">
        <f t="shared" si="4"/>
        <v>{label:'Rincian 2209A=1' , value:86},</v>
      </c>
      <c r="R88" t="str">
        <f t="shared" si="5"/>
        <v>{idk:7, rincian:'Rincian 266', kondisi: '&gt;0', fatal:1},</v>
      </c>
    </row>
    <row r="89" spans="1:18" x14ac:dyDescent="0.25">
      <c r="A89" s="8">
        <v>10</v>
      </c>
      <c r="B89" s="23">
        <v>619</v>
      </c>
      <c r="C89" s="8" t="s">
        <v>7</v>
      </c>
      <c r="D89" s="9">
        <v>266</v>
      </c>
      <c r="E89" s="8" t="s">
        <v>4</v>
      </c>
      <c r="F89" s="8">
        <v>1</v>
      </c>
      <c r="G89" s="8">
        <v>266</v>
      </c>
      <c r="H89" s="8">
        <v>3</v>
      </c>
      <c r="I89" s="8">
        <v>0</v>
      </c>
      <c r="J89" t="str">
        <f t="shared" si="3"/>
        <v>619=2</v>
      </c>
      <c r="K89" t="str">
        <v>2209B=1</v>
      </c>
      <c r="L89">
        <v>87</v>
      </c>
      <c r="N89" t="str">
        <f t="shared" si="4"/>
        <v>{label:'Rincian 2209B=1' , value:87},</v>
      </c>
      <c r="R89" t="str">
        <f t="shared" si="5"/>
        <v>{idk:10, rincian:'Rincian 266', kondisi: '&gt;0', fatal:1},</v>
      </c>
    </row>
    <row r="90" spans="1:18" x14ac:dyDescent="0.25">
      <c r="A90" s="8">
        <v>6</v>
      </c>
      <c r="B90" s="9">
        <v>605</v>
      </c>
      <c r="C90" s="8" t="s">
        <v>6</v>
      </c>
      <c r="D90" s="9">
        <v>267</v>
      </c>
      <c r="E90" s="8" t="s">
        <v>4</v>
      </c>
      <c r="F90" s="8">
        <v>1</v>
      </c>
      <c r="G90" s="8">
        <v>267</v>
      </c>
      <c r="H90" s="8">
        <v>3</v>
      </c>
      <c r="I90" s="8">
        <v>0</v>
      </c>
      <c r="J90" t="str">
        <f t="shared" si="3"/>
        <v>605=1,2</v>
      </c>
      <c r="K90" t="str">
        <v>709=1</v>
      </c>
      <c r="L90">
        <v>88</v>
      </c>
      <c r="N90" t="str">
        <f t="shared" si="4"/>
        <v>{label:'Rincian 709=1' , value:88},</v>
      </c>
      <c r="R90" t="str">
        <f t="shared" si="5"/>
        <v>{idk:6, rincian:'Rincian 267', kondisi: '&gt;0', fatal:1},</v>
      </c>
    </row>
    <row r="91" spans="1:18" x14ac:dyDescent="0.25">
      <c r="A91" s="8">
        <v>7</v>
      </c>
      <c r="B91" s="9">
        <v>610</v>
      </c>
      <c r="C91" s="8" t="s">
        <v>7</v>
      </c>
      <c r="D91" s="9">
        <v>268</v>
      </c>
      <c r="E91" s="8" t="s">
        <v>4</v>
      </c>
      <c r="F91" s="8">
        <v>2</v>
      </c>
      <c r="G91" s="8">
        <v>268</v>
      </c>
      <c r="H91" s="8">
        <v>3</v>
      </c>
      <c r="I91" s="8">
        <v>0</v>
      </c>
      <c r="J91" t="str">
        <f t="shared" si="3"/>
        <v>610=2</v>
      </c>
      <c r="K91" t="str">
        <v>2202=1,2</v>
      </c>
      <c r="L91">
        <v>89</v>
      </c>
      <c r="N91" t="str">
        <f t="shared" si="4"/>
        <v>{label:'Rincian 2202=1,2' , value:89},</v>
      </c>
      <c r="R91" t="str">
        <f t="shared" si="5"/>
        <v>{idk:7, rincian:'Rincian 268', kondisi: '&gt;0', fatal:2},</v>
      </c>
    </row>
    <row r="92" spans="1:18" x14ac:dyDescent="0.25">
      <c r="A92" s="8">
        <v>10</v>
      </c>
      <c r="B92" s="23">
        <v>619</v>
      </c>
      <c r="C92" s="8" t="s">
        <v>7</v>
      </c>
      <c r="D92" s="9">
        <v>268</v>
      </c>
      <c r="E92" s="8" t="s">
        <v>4</v>
      </c>
      <c r="F92" s="8">
        <v>2</v>
      </c>
      <c r="G92" s="8">
        <v>268</v>
      </c>
      <c r="H92" s="8">
        <v>3</v>
      </c>
      <c r="I92" s="8">
        <v>0</v>
      </c>
      <c r="J92" t="str">
        <f t="shared" si="3"/>
        <v>619=2</v>
      </c>
      <c r="K92" t="str">
        <v>2211A=1</v>
      </c>
      <c r="L92">
        <v>90</v>
      </c>
      <c r="N92" t="str">
        <f t="shared" si="4"/>
        <v>{label:'Rincian 2211A=1' , value:90},</v>
      </c>
      <c r="R92" t="str">
        <f t="shared" si="5"/>
        <v>{idk:10, rincian:'Rincian 268', kondisi: '&gt;0', fatal:2},</v>
      </c>
    </row>
    <row r="93" spans="1:18" x14ac:dyDescent="0.25">
      <c r="A93" s="8">
        <v>7</v>
      </c>
      <c r="B93" s="9">
        <v>610</v>
      </c>
      <c r="C93" s="8" t="s">
        <v>7</v>
      </c>
      <c r="D93" s="9">
        <v>269</v>
      </c>
      <c r="E93" s="8" t="s">
        <v>4</v>
      </c>
      <c r="F93" s="8">
        <v>1</v>
      </c>
      <c r="G93" s="8">
        <v>269</v>
      </c>
      <c r="H93" s="8">
        <v>3</v>
      </c>
      <c r="I93" s="8">
        <v>0</v>
      </c>
      <c r="J93" t="str">
        <f t="shared" si="3"/>
        <v>610=2</v>
      </c>
      <c r="K93" t="str">
        <v>2211B=1</v>
      </c>
      <c r="L93">
        <v>91</v>
      </c>
      <c r="N93" t="str">
        <f t="shared" si="4"/>
        <v>{label:'Rincian 2211B=1' , value:91},</v>
      </c>
      <c r="R93" t="str">
        <f t="shared" si="5"/>
        <v>{idk:7, rincian:'Rincian 269', kondisi: '&gt;0', fatal:1},</v>
      </c>
    </row>
    <row r="94" spans="1:18" x14ac:dyDescent="0.25">
      <c r="A94" s="8">
        <v>10</v>
      </c>
      <c r="B94" s="23">
        <v>619</v>
      </c>
      <c r="C94" s="12" t="s">
        <v>7</v>
      </c>
      <c r="D94" s="9">
        <v>269</v>
      </c>
      <c r="E94" s="8" t="s">
        <v>4</v>
      </c>
      <c r="F94" s="8">
        <v>1</v>
      </c>
      <c r="G94" s="8">
        <v>269</v>
      </c>
      <c r="H94" s="8">
        <v>3</v>
      </c>
      <c r="I94" s="8">
        <v>0</v>
      </c>
      <c r="J94" t="str">
        <f t="shared" si="3"/>
        <v>619=2</v>
      </c>
      <c r="K94" t="str">
        <v>1101=A</v>
      </c>
      <c r="L94">
        <v>92</v>
      </c>
      <c r="N94" t="str">
        <f t="shared" si="4"/>
        <v>{label:'Rincian 1101=A' , value:92},</v>
      </c>
      <c r="R94" t="str">
        <f t="shared" si="5"/>
        <v>{idk:10, rincian:'Rincian 269', kondisi: '&gt;0', fatal:1},</v>
      </c>
    </row>
    <row r="95" spans="1:18" x14ac:dyDescent="0.25">
      <c r="A95" s="8">
        <v>6</v>
      </c>
      <c r="B95" s="9">
        <v>605</v>
      </c>
      <c r="C95" s="8" t="s">
        <v>6</v>
      </c>
      <c r="D95" s="9">
        <v>269</v>
      </c>
      <c r="E95" s="8" t="s">
        <v>4</v>
      </c>
      <c r="F95" s="8">
        <v>2</v>
      </c>
      <c r="G95" s="8">
        <v>269</v>
      </c>
      <c r="H95" s="8">
        <v>3</v>
      </c>
      <c r="I95" s="8">
        <v>0</v>
      </c>
      <c r="J95" t="str">
        <f t="shared" si="3"/>
        <v>605=1,2</v>
      </c>
      <c r="K95" t="str">
        <v>2209C=1</v>
      </c>
      <c r="L95">
        <v>93</v>
      </c>
      <c r="N95" t="str">
        <f t="shared" si="4"/>
        <v>{label:'Rincian 2209C=1' , value:93},</v>
      </c>
      <c r="R95" t="str">
        <f t="shared" si="5"/>
        <v>{idk:6, rincian:'Rincian 269', kondisi: '&gt;0', fatal:2},</v>
      </c>
    </row>
    <row r="96" spans="1:18" x14ac:dyDescent="0.25">
      <c r="A96" s="8">
        <v>20</v>
      </c>
      <c r="B96" s="9">
        <v>903</v>
      </c>
      <c r="C96" s="8" t="s">
        <v>4</v>
      </c>
      <c r="D96" s="9" t="s">
        <v>83</v>
      </c>
      <c r="E96" s="8" t="s">
        <v>4</v>
      </c>
      <c r="F96" s="11">
        <v>1</v>
      </c>
      <c r="G96" s="8">
        <v>271</v>
      </c>
      <c r="H96" s="8">
        <v>19</v>
      </c>
      <c r="I96" s="8">
        <v>0</v>
      </c>
      <c r="J96" t="str">
        <f t="shared" si="3"/>
        <v>903&gt;0</v>
      </c>
      <c r="K96" t="str">
        <v>2209D=1</v>
      </c>
      <c r="L96">
        <v>94</v>
      </c>
      <c r="N96" t="str">
        <f t="shared" si="4"/>
        <v>{label:'Rincian 2209D=1' , value:94},</v>
      </c>
      <c r="R96" t="str">
        <f t="shared" si="5"/>
        <v>{idk:20, rincian:'Rincian 271+272+273+274+275', kondisi: '&gt;0', fatal:1},</v>
      </c>
    </row>
    <row r="97" spans="1:18" x14ac:dyDescent="0.25">
      <c r="A97" s="8">
        <v>75</v>
      </c>
      <c r="B97" s="9" t="s">
        <v>61</v>
      </c>
      <c r="C97" s="12" t="s">
        <v>8</v>
      </c>
      <c r="D97" s="9" t="s">
        <v>117</v>
      </c>
      <c r="E97" s="8" t="s">
        <v>4</v>
      </c>
      <c r="F97" s="8">
        <v>2</v>
      </c>
      <c r="G97" s="8">
        <v>274</v>
      </c>
      <c r="H97" s="8">
        <v>7</v>
      </c>
      <c r="I97" s="8">
        <v>0</v>
      </c>
      <c r="J97" t="str">
        <f t="shared" si="3"/>
        <v>2001H=1</v>
      </c>
      <c r="L97">
        <v>95</v>
      </c>
      <c r="N97" t="str">
        <f t="shared" si="4"/>
        <v>{label:'Rincian ' , value:95},</v>
      </c>
      <c r="R97" t="str">
        <f t="shared" si="5"/>
        <v>{idk:75, rincian:'Rincian 274+313', kondisi: '&gt;0', fatal:2},</v>
      </c>
    </row>
    <row r="98" spans="1:18" x14ac:dyDescent="0.25">
      <c r="A98" s="8">
        <v>77</v>
      </c>
      <c r="B98" s="9" t="s">
        <v>65</v>
      </c>
      <c r="C98" s="12" t="s">
        <v>8</v>
      </c>
      <c r="D98" s="9" t="s">
        <v>117</v>
      </c>
      <c r="E98" s="8" t="s">
        <v>4</v>
      </c>
      <c r="F98" s="8">
        <v>2</v>
      </c>
      <c r="G98" s="8">
        <v>274</v>
      </c>
      <c r="H98" s="8">
        <v>7</v>
      </c>
      <c r="I98" s="8">
        <v>0</v>
      </c>
      <c r="J98" t="str">
        <f t="shared" si="3"/>
        <v>2001K=1</v>
      </c>
      <c r="R98" t="str">
        <f t="shared" si="5"/>
        <v>{idk:77, rincian:'Rincian 274+313', kondisi: '&gt;0', fatal:2},</v>
      </c>
    </row>
    <row r="99" spans="1:18" x14ac:dyDescent="0.25">
      <c r="A99" s="8">
        <v>2</v>
      </c>
      <c r="B99" s="9">
        <v>403</v>
      </c>
      <c r="C99" s="12" t="s">
        <v>84</v>
      </c>
      <c r="D99" s="9">
        <v>277</v>
      </c>
      <c r="E99" s="8" t="s">
        <v>4</v>
      </c>
      <c r="F99" s="8">
        <v>1</v>
      </c>
      <c r="G99" s="8">
        <v>277</v>
      </c>
      <c r="H99" s="8">
        <v>3</v>
      </c>
      <c r="I99" s="8">
        <v>0</v>
      </c>
      <c r="J99" t="str">
        <f t="shared" si="3"/>
        <v>403=8</v>
      </c>
      <c r="R99" t="str">
        <f t="shared" si="5"/>
        <v>{idk:2, rincian:'Rincian 277', kondisi: '&gt;0', fatal:1},</v>
      </c>
    </row>
    <row r="100" spans="1:18" s="27" customFormat="1" x14ac:dyDescent="0.25">
      <c r="A100" s="24">
        <v>11</v>
      </c>
      <c r="B100" s="25">
        <v>701</v>
      </c>
      <c r="C100" s="26" t="s">
        <v>8</v>
      </c>
      <c r="D100" s="25">
        <v>278</v>
      </c>
      <c r="E100" s="24" t="s">
        <v>4</v>
      </c>
      <c r="F100" s="24">
        <v>1</v>
      </c>
      <c r="G100" s="24">
        <v>278</v>
      </c>
      <c r="H100" s="24">
        <v>3</v>
      </c>
      <c r="I100" s="24">
        <v>0</v>
      </c>
      <c r="J100" s="27" t="str">
        <f t="shared" si="3"/>
        <v>701=1</v>
      </c>
      <c r="R100" s="27" t="str">
        <f t="shared" si="5"/>
        <v>{idk:11, rincian:'Rincian 278', kondisi: '&gt;0', fatal:1},</v>
      </c>
    </row>
    <row r="101" spans="1:18" x14ac:dyDescent="0.25">
      <c r="A101" s="8">
        <v>95</v>
      </c>
      <c r="B101" s="9" t="s">
        <v>79</v>
      </c>
      <c r="C101" s="12" t="s">
        <v>8</v>
      </c>
      <c r="D101" s="9">
        <v>278</v>
      </c>
      <c r="E101" s="8" t="s">
        <v>4</v>
      </c>
      <c r="F101" s="8">
        <v>1</v>
      </c>
      <c r="G101" s="8">
        <v>278</v>
      </c>
      <c r="H101" s="8">
        <v>3</v>
      </c>
      <c r="I101" s="8">
        <v>0</v>
      </c>
      <c r="J101" t="str">
        <f t="shared" si="3"/>
        <v>2210B=1</v>
      </c>
      <c r="R101" t="str">
        <f t="shared" si="5"/>
        <v>{idk:95, rincian:'Rincian 278', kondisi: '&gt;0', fatal:1},</v>
      </c>
    </row>
    <row r="102" spans="1:18" x14ac:dyDescent="0.25">
      <c r="A102" s="8">
        <v>8</v>
      </c>
      <c r="B102" s="9">
        <v>616</v>
      </c>
      <c r="C102" s="8" t="s">
        <v>8</v>
      </c>
      <c r="D102" s="9">
        <v>278</v>
      </c>
      <c r="E102" s="8" t="s">
        <v>4</v>
      </c>
      <c r="F102" s="8">
        <v>2</v>
      </c>
      <c r="G102" s="8">
        <v>278</v>
      </c>
      <c r="H102" s="8">
        <v>3</v>
      </c>
      <c r="I102" s="8">
        <v>0</v>
      </c>
      <c r="J102" t="str">
        <f t="shared" si="3"/>
        <v>616=1</v>
      </c>
      <c r="R102" t="str">
        <f t="shared" si="5"/>
        <v>{idk:8, rincian:'Rincian 278', kondisi: '&gt;0', fatal:2},</v>
      </c>
    </row>
    <row r="103" spans="1:18" x14ac:dyDescent="0.25">
      <c r="A103" s="8">
        <v>70</v>
      </c>
      <c r="B103" s="9" t="s">
        <v>57</v>
      </c>
      <c r="C103" s="12" t="s">
        <v>8</v>
      </c>
      <c r="D103" s="9">
        <v>278</v>
      </c>
      <c r="E103" s="8" t="s">
        <v>4</v>
      </c>
      <c r="F103" s="8">
        <v>2</v>
      </c>
      <c r="G103" s="8">
        <v>278</v>
      </c>
      <c r="H103" s="8">
        <v>3</v>
      </c>
      <c r="I103" s="8">
        <v>0</v>
      </c>
      <c r="J103" t="str">
        <f t="shared" si="3"/>
        <v>1901A=1</v>
      </c>
      <c r="R103" t="str">
        <f t="shared" si="5"/>
        <v>{idk:70, rincian:'Rincian 278', kondisi: '&gt;0', fatal:2},</v>
      </c>
    </row>
    <row r="104" spans="1:18" x14ac:dyDescent="0.25">
      <c r="A104" s="8">
        <v>71</v>
      </c>
      <c r="B104" s="9" t="s">
        <v>58</v>
      </c>
      <c r="C104" s="8" t="s">
        <v>8</v>
      </c>
      <c r="D104" s="9">
        <v>278</v>
      </c>
      <c r="E104" s="8" t="s">
        <v>4</v>
      </c>
      <c r="F104" s="8">
        <v>2</v>
      </c>
      <c r="G104" s="8">
        <v>278</v>
      </c>
      <c r="H104" s="8">
        <v>3</v>
      </c>
      <c r="I104" s="8">
        <v>0</v>
      </c>
      <c r="J104" t="str">
        <f t="shared" si="3"/>
        <v>1901B=1</v>
      </c>
      <c r="R104" t="str">
        <f t="shared" si="5"/>
        <v>{idk:71, rincian:'Rincian 278', kondisi: '&gt;0', fatal:2},</v>
      </c>
    </row>
    <row r="105" spans="1:18" x14ac:dyDescent="0.25">
      <c r="A105" s="8">
        <v>72</v>
      </c>
      <c r="B105" s="9" t="s">
        <v>59</v>
      </c>
      <c r="C105" s="8" t="s">
        <v>8</v>
      </c>
      <c r="D105" s="9">
        <v>278</v>
      </c>
      <c r="E105" s="8" t="s">
        <v>4</v>
      </c>
      <c r="F105" s="8">
        <v>2</v>
      </c>
      <c r="G105" s="8">
        <v>278</v>
      </c>
      <c r="H105" s="8">
        <v>3</v>
      </c>
      <c r="I105" s="8">
        <v>0</v>
      </c>
      <c r="J105" t="str">
        <f t="shared" si="3"/>
        <v>1901C=1</v>
      </c>
      <c r="R105" t="str">
        <f t="shared" si="5"/>
        <v>{idk:72, rincian:'Rincian 278', kondisi: '&gt;0', fatal:2},</v>
      </c>
    </row>
    <row r="106" spans="1:18" x14ac:dyDescent="0.25">
      <c r="A106" s="8">
        <v>1</v>
      </c>
      <c r="B106" s="9">
        <v>301</v>
      </c>
      <c r="C106" s="12" t="s">
        <v>4</v>
      </c>
      <c r="D106" s="9">
        <v>279</v>
      </c>
      <c r="E106" s="8" t="s">
        <v>4</v>
      </c>
      <c r="F106" s="8">
        <v>2</v>
      </c>
      <c r="G106" s="8">
        <v>279</v>
      </c>
      <c r="H106" s="8">
        <v>3</v>
      </c>
      <c r="I106" s="8">
        <v>0</v>
      </c>
      <c r="J106" t="str">
        <f t="shared" si="3"/>
        <v>301&gt;0</v>
      </c>
      <c r="R106" t="str">
        <f t="shared" si="5"/>
        <v>{idk:1, rincian:'Rincian 279', kondisi: '&gt;0', fatal:2},</v>
      </c>
    </row>
    <row r="107" spans="1:18" x14ac:dyDescent="0.25">
      <c r="A107" s="8">
        <v>5</v>
      </c>
      <c r="B107" s="9" t="s">
        <v>96</v>
      </c>
      <c r="C107" s="8" t="s">
        <v>5</v>
      </c>
      <c r="D107" s="9">
        <v>279</v>
      </c>
      <c r="E107" s="8" t="s">
        <v>4</v>
      </c>
      <c r="F107" s="8">
        <v>2</v>
      </c>
      <c r="G107" s="8">
        <v>279</v>
      </c>
      <c r="H107" s="8">
        <v>3</v>
      </c>
      <c r="I107" s="8">
        <v>0</v>
      </c>
      <c r="J107" t="str">
        <f t="shared" si="3"/>
        <v>409 - rincian 407&lt;=1</v>
      </c>
      <c r="R107" t="str">
        <f t="shared" si="5"/>
        <v>{idk:5, rincian:'Rincian 279', kondisi: '&gt;0', fatal:2},</v>
      </c>
    </row>
    <row r="108" spans="1:18" x14ac:dyDescent="0.25">
      <c r="A108" s="8">
        <v>1</v>
      </c>
      <c r="B108" s="9">
        <v>301</v>
      </c>
      <c r="C108" s="12" t="s">
        <v>4</v>
      </c>
      <c r="D108" s="9">
        <v>280</v>
      </c>
      <c r="E108" s="8" t="s">
        <v>4</v>
      </c>
      <c r="F108" s="8">
        <v>2</v>
      </c>
      <c r="G108" s="8">
        <v>280</v>
      </c>
      <c r="H108" s="8">
        <v>3</v>
      </c>
      <c r="I108" s="8">
        <v>0</v>
      </c>
      <c r="J108" t="str">
        <f t="shared" si="3"/>
        <v>301&gt;0</v>
      </c>
      <c r="R108" t="str">
        <f t="shared" si="5"/>
        <v>{idk:1, rincian:'Rincian 280', kondisi: '&gt;0', fatal:2},</v>
      </c>
    </row>
    <row r="109" spans="1:18" x14ac:dyDescent="0.25">
      <c r="A109" s="8">
        <v>3</v>
      </c>
      <c r="B109" s="9">
        <v>407</v>
      </c>
      <c r="C109" s="12" t="s">
        <v>2</v>
      </c>
      <c r="D109" s="9">
        <v>283</v>
      </c>
      <c r="E109" s="8" t="s">
        <v>4</v>
      </c>
      <c r="F109" s="8">
        <v>1</v>
      </c>
      <c r="G109" s="8">
        <v>283</v>
      </c>
      <c r="H109" s="8">
        <v>3</v>
      </c>
      <c r="I109" s="8">
        <v>0</v>
      </c>
      <c r="J109" t="str">
        <f t="shared" si="3"/>
        <v>407&lt;1</v>
      </c>
      <c r="R109" t="str">
        <f t="shared" si="5"/>
        <v>{idk:3, rincian:'Rincian 283', kondisi: '&gt;0', fatal:1},</v>
      </c>
    </row>
    <row r="110" spans="1:18" x14ac:dyDescent="0.25">
      <c r="A110" s="8">
        <v>4</v>
      </c>
      <c r="B110" s="9">
        <v>407</v>
      </c>
      <c r="C110" s="12" t="s">
        <v>3</v>
      </c>
      <c r="D110" s="9">
        <v>283</v>
      </c>
      <c r="E110" s="8" t="s">
        <v>4</v>
      </c>
      <c r="F110" s="8">
        <v>2</v>
      </c>
      <c r="G110" s="8">
        <v>283</v>
      </c>
      <c r="H110" s="8">
        <v>3</v>
      </c>
      <c r="I110" s="8">
        <v>0</v>
      </c>
      <c r="J110" t="str">
        <f t="shared" si="3"/>
        <v>407&lt;5</v>
      </c>
      <c r="R110" t="str">
        <f t="shared" si="5"/>
        <v>{idk:4, rincian:'Rincian 283', kondisi: '&gt;0', fatal:2},</v>
      </c>
    </row>
    <row r="111" spans="1:18" x14ac:dyDescent="0.25">
      <c r="A111" s="8">
        <v>16</v>
      </c>
      <c r="B111" s="9">
        <v>802</v>
      </c>
      <c r="C111" s="12" t="s">
        <v>8</v>
      </c>
      <c r="D111" s="9">
        <v>297</v>
      </c>
      <c r="E111" s="8" t="s">
        <v>4</v>
      </c>
      <c r="F111" s="8">
        <v>2</v>
      </c>
      <c r="G111" s="8">
        <v>297</v>
      </c>
      <c r="H111" s="8">
        <v>3</v>
      </c>
      <c r="I111" s="8">
        <v>0</v>
      </c>
      <c r="J111" t="str">
        <f t="shared" si="3"/>
        <v>802=1</v>
      </c>
      <c r="R111" t="str">
        <f t="shared" si="5"/>
        <v>{idk:16, rincian:'Rincian 297', kondisi: '&gt;0', fatal:2},</v>
      </c>
    </row>
    <row r="112" spans="1:18" x14ac:dyDescent="0.25">
      <c r="A112" s="8">
        <v>4</v>
      </c>
      <c r="B112" s="9">
        <v>407</v>
      </c>
      <c r="C112" s="12" t="s">
        <v>3</v>
      </c>
      <c r="D112" s="9">
        <v>301</v>
      </c>
      <c r="E112" s="8" t="s">
        <v>4</v>
      </c>
      <c r="F112" s="8">
        <v>2</v>
      </c>
      <c r="G112" s="8">
        <v>301</v>
      </c>
      <c r="H112" s="8">
        <v>3</v>
      </c>
      <c r="I112" s="8">
        <v>0</v>
      </c>
      <c r="J112" t="str">
        <f t="shared" si="3"/>
        <v>407&lt;5</v>
      </c>
      <c r="R112" t="str">
        <f t="shared" si="5"/>
        <v>{idk:4, rincian:'Rincian 301', kondisi: '&gt;0', fatal:2},</v>
      </c>
    </row>
    <row r="113" spans="1:18" x14ac:dyDescent="0.25">
      <c r="A113" s="8">
        <v>51</v>
      </c>
      <c r="B113" s="9">
        <v>1802</v>
      </c>
      <c r="C113" s="8" t="s">
        <v>8</v>
      </c>
      <c r="D113" s="9">
        <v>308</v>
      </c>
      <c r="E113" s="8" t="s">
        <v>4</v>
      </c>
      <c r="F113" s="8">
        <v>1</v>
      </c>
      <c r="G113" s="8">
        <v>308</v>
      </c>
      <c r="H113" s="8">
        <v>3</v>
      </c>
      <c r="I113" s="8">
        <v>0</v>
      </c>
      <c r="J113" t="str">
        <f t="shared" si="3"/>
        <v>1802=1</v>
      </c>
      <c r="R113" t="str">
        <f t="shared" si="5"/>
        <v>{idk:51, rincian:'Rincian 308', kondisi: '&gt;0', fatal:1},</v>
      </c>
    </row>
    <row r="114" spans="1:18" x14ac:dyDescent="0.25">
      <c r="A114" s="8">
        <v>78</v>
      </c>
      <c r="B114" s="9" t="s">
        <v>66</v>
      </c>
      <c r="C114" s="12" t="s">
        <v>8</v>
      </c>
      <c r="D114" s="9">
        <v>308</v>
      </c>
      <c r="E114" s="8" t="s">
        <v>4</v>
      </c>
      <c r="F114" s="8">
        <v>1</v>
      </c>
      <c r="G114" s="8">
        <v>308</v>
      </c>
      <c r="H114" s="8">
        <v>3</v>
      </c>
      <c r="I114" s="8">
        <v>0</v>
      </c>
      <c r="J114" t="str">
        <f t="shared" si="3"/>
        <v>2001M=1</v>
      </c>
      <c r="R114" t="str">
        <f t="shared" si="5"/>
        <v>{idk:78, rincian:'Rincian 308', kondisi: '&gt;0', fatal:1},</v>
      </c>
    </row>
    <row r="115" spans="1:18" x14ac:dyDescent="0.25">
      <c r="A115" s="8">
        <v>75</v>
      </c>
      <c r="B115" s="9" t="s">
        <v>61</v>
      </c>
      <c r="C115" s="8" t="s">
        <v>8</v>
      </c>
      <c r="D115" s="9">
        <v>309</v>
      </c>
      <c r="E115" s="8" t="s">
        <v>4</v>
      </c>
      <c r="F115" s="8">
        <v>1</v>
      </c>
      <c r="G115" s="8">
        <v>309</v>
      </c>
      <c r="H115" s="8">
        <v>3</v>
      </c>
      <c r="I115" s="8">
        <v>0</v>
      </c>
      <c r="J115" t="str">
        <f t="shared" si="3"/>
        <v>2001H=1</v>
      </c>
      <c r="R115" t="str">
        <f t="shared" si="5"/>
        <v>{idk:75, rincian:'Rincian 309', kondisi: '&gt;0', fatal:1},</v>
      </c>
    </row>
    <row r="116" spans="1:18" x14ac:dyDescent="0.25">
      <c r="A116" s="8">
        <v>77</v>
      </c>
      <c r="B116" s="9" t="s">
        <v>65</v>
      </c>
      <c r="C116" s="12" t="s">
        <v>8</v>
      </c>
      <c r="D116" s="9">
        <v>309</v>
      </c>
      <c r="E116" s="8" t="s">
        <v>4</v>
      </c>
      <c r="F116" s="8">
        <v>1</v>
      </c>
      <c r="G116" s="8">
        <v>309</v>
      </c>
      <c r="H116" s="8">
        <v>3</v>
      </c>
      <c r="I116" s="8">
        <v>0</v>
      </c>
      <c r="J116" t="str">
        <f t="shared" si="3"/>
        <v>2001K=1</v>
      </c>
      <c r="R116" t="str">
        <f t="shared" si="5"/>
        <v>{idk:77, rincian:'Rincian 309', kondisi: '&gt;0', fatal:1},</v>
      </c>
    </row>
    <row r="117" spans="1:18" x14ac:dyDescent="0.25">
      <c r="A117" s="8">
        <v>22</v>
      </c>
      <c r="B117" s="9">
        <v>1101</v>
      </c>
      <c r="C117" s="8" t="s">
        <v>17</v>
      </c>
      <c r="D117" s="9">
        <v>311</v>
      </c>
      <c r="E117" s="8" t="s">
        <v>4</v>
      </c>
      <c r="F117" s="11">
        <v>1</v>
      </c>
      <c r="G117" s="8">
        <v>311</v>
      </c>
      <c r="H117" s="8">
        <v>3</v>
      </c>
      <c r="I117" s="8">
        <v>0</v>
      </c>
      <c r="J117" t="str">
        <f t="shared" si="3"/>
        <v>1101=A,B,C,D</v>
      </c>
      <c r="R117" t="str">
        <f t="shared" si="5"/>
        <v>{idk:22, rincian:'Rincian 311', kondisi: '&gt;0', fatal:1},</v>
      </c>
    </row>
    <row r="118" spans="1:18" x14ac:dyDescent="0.25">
      <c r="A118" s="8">
        <v>83</v>
      </c>
      <c r="B118" s="9" t="s">
        <v>71</v>
      </c>
      <c r="C118" s="8" t="s">
        <v>8</v>
      </c>
      <c r="D118" s="9">
        <v>312</v>
      </c>
      <c r="E118" s="8" t="s">
        <v>4</v>
      </c>
      <c r="F118" s="8">
        <v>1</v>
      </c>
      <c r="G118" s="8">
        <v>312</v>
      </c>
      <c r="H118" s="8">
        <v>3</v>
      </c>
      <c r="I118" s="8">
        <v>0</v>
      </c>
      <c r="J118" t="str">
        <f t="shared" si="3"/>
        <v>2201C=1</v>
      </c>
      <c r="R118" t="str">
        <f t="shared" si="5"/>
        <v>{idk:83, rincian:'Rincian 312', kondisi: '&gt;0', fatal:1},</v>
      </c>
    </row>
    <row r="119" spans="1:18" x14ac:dyDescent="0.25">
      <c r="A119" s="8">
        <v>84</v>
      </c>
      <c r="B119" s="9" t="s">
        <v>119</v>
      </c>
      <c r="C119" s="12" t="s">
        <v>8</v>
      </c>
      <c r="D119" s="9">
        <v>312</v>
      </c>
      <c r="E119" s="8" t="s">
        <v>4</v>
      </c>
      <c r="F119" s="8">
        <v>1</v>
      </c>
      <c r="G119" s="8">
        <v>312</v>
      </c>
      <c r="H119" s="8">
        <v>3</v>
      </c>
      <c r="I119" s="8">
        <v>0</v>
      </c>
      <c r="J119" t="str">
        <f t="shared" si="3"/>
        <v>2201D=1</v>
      </c>
      <c r="R119" t="str">
        <f t="shared" si="5"/>
        <v>{idk:84, rincian:'Rincian 312', kondisi: '&gt;0', fatal:1},</v>
      </c>
    </row>
    <row r="120" spans="1:18" x14ac:dyDescent="0.25">
      <c r="A120" s="8">
        <v>5</v>
      </c>
      <c r="B120" s="9" t="s">
        <v>96</v>
      </c>
      <c r="C120" s="8" t="s">
        <v>5</v>
      </c>
      <c r="D120" s="9">
        <v>315</v>
      </c>
      <c r="E120" s="8" t="s">
        <v>4</v>
      </c>
      <c r="F120" s="8">
        <v>1</v>
      </c>
      <c r="G120" s="8">
        <v>315</v>
      </c>
      <c r="H120" s="8">
        <v>3</v>
      </c>
      <c r="I120" s="8">
        <v>0</v>
      </c>
      <c r="J120" t="str">
        <f t="shared" si="3"/>
        <v>409 - rincian 407&lt;=1</v>
      </c>
      <c r="R120" t="str">
        <f t="shared" si="5"/>
        <v>{idk:5, rincian:'Rincian 315', kondisi: '&gt;0', fatal:1},</v>
      </c>
    </row>
    <row r="121" spans="1:18" x14ac:dyDescent="0.25">
      <c r="A121" s="8">
        <v>3</v>
      </c>
      <c r="B121" s="9">
        <v>407</v>
      </c>
      <c r="C121" s="12" t="s">
        <v>2</v>
      </c>
      <c r="D121" s="9">
        <v>319</v>
      </c>
      <c r="E121" s="8" t="s">
        <v>4</v>
      </c>
      <c r="F121" s="8">
        <v>2</v>
      </c>
      <c r="G121" s="8">
        <v>319</v>
      </c>
      <c r="H121" s="8">
        <v>3</v>
      </c>
      <c r="I121" s="8">
        <v>0</v>
      </c>
      <c r="J121" t="str">
        <f t="shared" si="3"/>
        <v>407&lt;1</v>
      </c>
      <c r="R121" t="str">
        <f t="shared" si="5"/>
        <v>{idk:3, rincian:'Rincian 319', kondisi: '&gt;0', fatal:2},</v>
      </c>
    </row>
    <row r="122" spans="1:18" x14ac:dyDescent="0.25">
      <c r="A122" s="8">
        <v>13</v>
      </c>
      <c r="B122" s="9">
        <v>706</v>
      </c>
      <c r="C122" s="8" t="s">
        <v>12</v>
      </c>
      <c r="D122" s="9" t="s">
        <v>11</v>
      </c>
      <c r="E122" s="8" t="s">
        <v>26</v>
      </c>
      <c r="F122" s="8">
        <v>1</v>
      </c>
      <c r="G122" s="8">
        <v>999</v>
      </c>
      <c r="H122" s="8">
        <v>2</v>
      </c>
      <c r="I122" s="8">
        <v>1</v>
      </c>
      <c r="J122" t="str">
        <f t="shared" si="3"/>
        <v>706=4,5</v>
      </c>
      <c r="R122" t="str">
        <f t="shared" si="5"/>
        <v>{idk:13, rincian:'Rincian VA', kondisi: '&gt;0 (Nama Bersesuaian)', fatal:1},</v>
      </c>
    </row>
    <row r="123" spans="1:18" x14ac:dyDescent="0.25">
      <c r="A123" s="8">
        <v>54</v>
      </c>
      <c r="B123" s="9">
        <v>1802</v>
      </c>
      <c r="C123" s="8" t="s">
        <v>43</v>
      </c>
      <c r="D123" s="9" t="s">
        <v>44</v>
      </c>
      <c r="E123" s="8" t="s">
        <v>4</v>
      </c>
      <c r="F123" s="8">
        <v>1</v>
      </c>
      <c r="G123" s="8">
        <v>999</v>
      </c>
      <c r="H123" s="8">
        <v>15</v>
      </c>
      <c r="I123" s="8">
        <v>1</v>
      </c>
      <c r="J123" t="str">
        <f t="shared" si="3"/>
        <v>1802=4</v>
      </c>
      <c r="R123" t="str">
        <f t="shared" si="5"/>
        <v>{idk:54, rincian:'Rincian VA jumlah kol 6', kondisi: '&gt;0', fatal:1},</v>
      </c>
    </row>
    <row r="124" spans="1:18" x14ac:dyDescent="0.25">
      <c r="A124" s="8">
        <v>12</v>
      </c>
      <c r="B124" s="9">
        <v>706</v>
      </c>
      <c r="C124" s="12" t="s">
        <v>10</v>
      </c>
      <c r="D124" s="9" t="s">
        <v>13</v>
      </c>
      <c r="E124" s="8" t="s">
        <v>26</v>
      </c>
      <c r="F124" s="8">
        <v>1</v>
      </c>
      <c r="G124" s="8">
        <v>999</v>
      </c>
      <c r="H124" s="8">
        <v>2</v>
      </c>
      <c r="I124" s="8">
        <v>1</v>
      </c>
      <c r="J124" t="str">
        <f t="shared" si="3"/>
        <v>706=1,2,3</v>
      </c>
      <c r="R124" t="str">
        <f t="shared" si="5"/>
        <v>{idk:12, rincian:'Rincian VB', kondisi: '&gt;0 (Nama Bersesuaian)', fatal:1},</v>
      </c>
    </row>
    <row r="125" spans="1:18" x14ac:dyDescent="0.25">
      <c r="A125" s="8">
        <v>51</v>
      </c>
      <c r="B125" s="9">
        <v>1802</v>
      </c>
      <c r="C125" s="8" t="s">
        <v>8</v>
      </c>
      <c r="D125" s="9" t="s">
        <v>39</v>
      </c>
      <c r="E125" s="8" t="s">
        <v>4</v>
      </c>
      <c r="F125" s="8">
        <v>1</v>
      </c>
      <c r="G125" s="8">
        <v>999</v>
      </c>
      <c r="H125" s="8">
        <v>10</v>
      </c>
      <c r="I125" s="8">
        <v>1</v>
      </c>
      <c r="J125" t="str">
        <f t="shared" si="3"/>
        <v>1802=1</v>
      </c>
      <c r="R125" t="str">
        <f t="shared" si="5"/>
        <v>{idk:51, rincian:'Rincian VC 1 kol 2', kondisi: '&gt;0', fatal:1},</v>
      </c>
    </row>
    <row r="126" spans="1:18" x14ac:dyDescent="0.25">
      <c r="A126" s="8">
        <v>52</v>
      </c>
      <c r="B126" s="9">
        <v>1802</v>
      </c>
      <c r="C126" s="12" t="s">
        <v>7</v>
      </c>
      <c r="D126" s="9" t="s">
        <v>39</v>
      </c>
      <c r="E126" s="8" t="s">
        <v>94</v>
      </c>
      <c r="F126" s="8">
        <v>1</v>
      </c>
      <c r="G126" s="8">
        <v>999</v>
      </c>
      <c r="H126" s="8">
        <v>10</v>
      </c>
      <c r="I126" s="8">
        <v>1</v>
      </c>
      <c r="J126" t="str">
        <f t="shared" si="3"/>
        <v>1802=2</v>
      </c>
      <c r="R126" t="str">
        <f t="shared" si="5"/>
        <v>{idk:52, rincian:'Rincian VC 1 kol 2', kondisi: ' harus kosong', fatal:1},</v>
      </c>
    </row>
    <row r="127" spans="1:18" x14ac:dyDescent="0.25">
      <c r="A127" s="8">
        <v>53</v>
      </c>
      <c r="B127" s="9">
        <v>1802</v>
      </c>
      <c r="C127" s="8" t="s">
        <v>41</v>
      </c>
      <c r="D127" s="9" t="s">
        <v>39</v>
      </c>
      <c r="E127" s="8" t="s">
        <v>94</v>
      </c>
      <c r="F127" s="8">
        <v>1</v>
      </c>
      <c r="G127" s="8">
        <v>999</v>
      </c>
      <c r="H127" s="8">
        <v>10</v>
      </c>
      <c r="I127" s="8">
        <v>1</v>
      </c>
      <c r="J127" t="str">
        <f t="shared" si="3"/>
        <v>1802=3</v>
      </c>
      <c r="R127" t="str">
        <f t="shared" si="5"/>
        <v>{idk:53, rincian:'Rincian VC 1 kol 2', kondisi: ' harus kosong', fatal:1},</v>
      </c>
    </row>
    <row r="128" spans="1:18" x14ac:dyDescent="0.25">
      <c r="A128" s="8">
        <v>54</v>
      </c>
      <c r="B128" s="9">
        <v>1802</v>
      </c>
      <c r="C128" s="8" t="s">
        <v>43</v>
      </c>
      <c r="D128" s="9" t="s">
        <v>39</v>
      </c>
      <c r="E128" s="8" t="s">
        <v>94</v>
      </c>
      <c r="F128" s="8">
        <v>1</v>
      </c>
      <c r="G128" s="8">
        <v>999</v>
      </c>
      <c r="H128" s="8">
        <v>10</v>
      </c>
      <c r="I128" s="8">
        <v>1</v>
      </c>
      <c r="J128" t="str">
        <f t="shared" si="3"/>
        <v>1802=4</v>
      </c>
      <c r="R128" t="str">
        <f t="shared" si="5"/>
        <v>{idk:54, rincian:'Rincian VC 1 kol 2', kondisi: ' harus kosong', fatal:1},</v>
      </c>
    </row>
    <row r="129" spans="1:18" x14ac:dyDescent="0.25">
      <c r="A129" s="8">
        <v>55</v>
      </c>
      <c r="B129" s="9">
        <v>1802</v>
      </c>
      <c r="C129" s="12" t="s">
        <v>37</v>
      </c>
      <c r="D129" s="9" t="s">
        <v>39</v>
      </c>
      <c r="E129" s="8" t="s">
        <v>94</v>
      </c>
      <c r="F129" s="8">
        <v>1</v>
      </c>
      <c r="G129" s="8">
        <v>999</v>
      </c>
      <c r="H129" s="8">
        <v>10</v>
      </c>
      <c r="I129" s="8">
        <v>1</v>
      </c>
      <c r="J129" t="str">
        <f t="shared" si="3"/>
        <v>1802=5</v>
      </c>
      <c r="R129" t="str">
        <f t="shared" si="5"/>
        <v>{idk:55, rincian:'Rincian VC 1 kol 2', kondisi: ' harus kosong', fatal:1},</v>
      </c>
    </row>
    <row r="130" spans="1:18" x14ac:dyDescent="0.25">
      <c r="A130" s="8">
        <v>8</v>
      </c>
      <c r="B130" s="9">
        <v>616</v>
      </c>
      <c r="C130" s="8" t="s">
        <v>8</v>
      </c>
      <c r="D130" s="9" t="s">
        <v>14</v>
      </c>
      <c r="E130" s="8" t="s">
        <v>4</v>
      </c>
      <c r="F130" s="8">
        <v>2</v>
      </c>
      <c r="G130" s="8">
        <v>999</v>
      </c>
      <c r="H130" s="8">
        <v>10</v>
      </c>
      <c r="I130" s="8">
        <v>1</v>
      </c>
      <c r="J130" t="str">
        <f t="shared" si="3"/>
        <v>616=1</v>
      </c>
      <c r="R130" t="str">
        <f t="shared" si="5"/>
        <v>{idk:8, rincian:'Rincian VD 4 kol 2', kondisi: '&gt;0', fatal:2},</v>
      </c>
    </row>
    <row r="131" spans="1:18" x14ac:dyDescent="0.25">
      <c r="A131" s="8">
        <v>11</v>
      </c>
      <c r="B131" s="9">
        <v>701</v>
      </c>
      <c r="C131" s="8" t="s">
        <v>8</v>
      </c>
      <c r="D131" s="9" t="s">
        <v>14</v>
      </c>
      <c r="E131" s="8" t="s">
        <v>4</v>
      </c>
      <c r="F131" s="8">
        <v>2</v>
      </c>
      <c r="G131" s="8">
        <v>999</v>
      </c>
      <c r="H131" s="8">
        <v>10</v>
      </c>
      <c r="I131" s="8">
        <v>1</v>
      </c>
      <c r="J131" t="str">
        <f t="shared" si="3"/>
        <v>701=1</v>
      </c>
      <c r="R131" t="str">
        <f t="shared" si="5"/>
        <v>{idk:11, rincian:'Rincian VD 4 kol 2', kondisi: '&gt;0', fatal:2},</v>
      </c>
    </row>
    <row r="132" spans="1:18" x14ac:dyDescent="0.25">
      <c r="A132" s="8">
        <v>95</v>
      </c>
      <c r="B132" s="9" t="s">
        <v>79</v>
      </c>
      <c r="C132" s="12" t="s">
        <v>8</v>
      </c>
      <c r="D132" s="9" t="s">
        <v>14</v>
      </c>
      <c r="E132" s="8" t="s">
        <v>4</v>
      </c>
      <c r="F132" s="8">
        <v>2</v>
      </c>
      <c r="G132" s="8">
        <v>999</v>
      </c>
      <c r="H132" s="8">
        <v>10</v>
      </c>
      <c r="I132" s="8">
        <v>1</v>
      </c>
      <c r="J132" t="str">
        <f t="shared" ref="J132:J155" si="6">CONCATENATE(B132,C132)</f>
        <v>2210B=1</v>
      </c>
      <c r="R132" t="str">
        <f t="shared" ref="R132:R155" si="7">CONCATENATE("{idk:",A132,", rincian:'Rincian ",D132,"', kondisi: '",E132,"', fatal:",F132,"},")</f>
        <v>{idk:95, rincian:'Rincian VD 4 kol 2', kondisi: '&gt;0', fatal:2},</v>
      </c>
    </row>
    <row r="133" spans="1:18" x14ac:dyDescent="0.25">
      <c r="A133" s="8">
        <v>70</v>
      </c>
      <c r="B133" s="9" t="s">
        <v>57</v>
      </c>
      <c r="C133" s="12" t="s">
        <v>8</v>
      </c>
      <c r="D133" s="9" t="s">
        <v>116</v>
      </c>
      <c r="E133" s="8" t="s">
        <v>4</v>
      </c>
      <c r="F133" s="8">
        <v>2</v>
      </c>
      <c r="G133" s="8">
        <v>999</v>
      </c>
      <c r="H133" s="8">
        <v>23</v>
      </c>
      <c r="I133" s="8">
        <v>1</v>
      </c>
      <c r="J133" t="str">
        <f t="shared" si="6"/>
        <v>1901A=1</v>
      </c>
      <c r="R133" t="str">
        <f t="shared" si="7"/>
        <v>{idk:70, rincian:'Rincian VD 4 kol 2 + VD 4 kol 3', kondisi: '&gt;0', fatal:2},</v>
      </c>
    </row>
    <row r="134" spans="1:18" x14ac:dyDescent="0.25">
      <c r="A134" s="8">
        <v>71</v>
      </c>
      <c r="B134" s="9" t="s">
        <v>58</v>
      </c>
      <c r="C134" s="8" t="s">
        <v>8</v>
      </c>
      <c r="D134" s="9" t="s">
        <v>116</v>
      </c>
      <c r="E134" s="8" t="s">
        <v>4</v>
      </c>
      <c r="F134" s="8">
        <v>2</v>
      </c>
      <c r="G134" s="8">
        <v>999</v>
      </c>
      <c r="H134" s="8">
        <v>23</v>
      </c>
      <c r="I134" s="8">
        <v>1</v>
      </c>
      <c r="J134" t="str">
        <f t="shared" si="6"/>
        <v>1901B=1</v>
      </c>
      <c r="R134" t="str">
        <f t="shared" si="7"/>
        <v>{idk:71, rincian:'Rincian VD 4 kol 2 + VD 4 kol 3', kondisi: '&gt;0', fatal:2},</v>
      </c>
    </row>
    <row r="135" spans="1:18" x14ac:dyDescent="0.25">
      <c r="A135" s="8">
        <v>72</v>
      </c>
      <c r="B135" s="9" t="s">
        <v>59</v>
      </c>
      <c r="C135" s="8" t="s">
        <v>8</v>
      </c>
      <c r="D135" s="9" t="s">
        <v>116</v>
      </c>
      <c r="E135" s="8" t="s">
        <v>4</v>
      </c>
      <c r="F135" s="8">
        <v>2</v>
      </c>
      <c r="G135" s="8">
        <v>999</v>
      </c>
      <c r="H135" s="8">
        <v>23</v>
      </c>
      <c r="I135" s="8">
        <v>1</v>
      </c>
      <c r="J135" t="str">
        <f t="shared" si="6"/>
        <v>1901C=1</v>
      </c>
      <c r="R135" t="str">
        <f t="shared" si="7"/>
        <v>{idk:72, rincian:'Rincian VD 4 kol 2 + VD 4 kol 3', kondisi: '&gt;0', fatal:2},</v>
      </c>
    </row>
    <row r="136" spans="1:18" x14ac:dyDescent="0.25">
      <c r="A136" s="8">
        <v>69</v>
      </c>
      <c r="B136" s="9">
        <v>1901</v>
      </c>
      <c r="C136" s="8" t="s">
        <v>8</v>
      </c>
      <c r="D136" s="9" t="s">
        <v>56</v>
      </c>
      <c r="E136" s="8" t="s">
        <v>4</v>
      </c>
      <c r="F136" s="8">
        <v>2</v>
      </c>
      <c r="G136" s="8">
        <v>999</v>
      </c>
      <c r="H136" s="8">
        <v>10</v>
      </c>
      <c r="I136" s="8">
        <v>1</v>
      </c>
      <c r="J136" t="str">
        <f t="shared" si="6"/>
        <v>1901=1</v>
      </c>
      <c r="R136" t="str">
        <f t="shared" si="7"/>
        <v>{idk:69, rincian:'Rincian VD 4 kol 3', kondisi: '&gt;0', fatal:2},</v>
      </c>
    </row>
    <row r="137" spans="1:18" x14ac:dyDescent="0.25">
      <c r="A137" s="8">
        <v>73</v>
      </c>
      <c r="B137" s="9" t="s">
        <v>115</v>
      </c>
      <c r="C137" s="12" t="s">
        <v>8</v>
      </c>
      <c r="D137" s="9" t="s">
        <v>56</v>
      </c>
      <c r="E137" s="8" t="s">
        <v>4</v>
      </c>
      <c r="F137" s="8">
        <v>2</v>
      </c>
      <c r="G137" s="8">
        <v>999</v>
      </c>
      <c r="H137" s="8">
        <v>10</v>
      </c>
      <c r="I137" s="8">
        <v>1</v>
      </c>
      <c r="J137" t="str">
        <f t="shared" si="6"/>
        <v>1901E=1</v>
      </c>
      <c r="R137" t="str">
        <f t="shared" si="7"/>
        <v>{idk:73, rincian:'Rincian VD 4 kol 3', kondisi: '&gt;0', fatal:2},</v>
      </c>
    </row>
    <row r="138" spans="1:18" x14ac:dyDescent="0.25">
      <c r="A138" s="8">
        <v>80</v>
      </c>
      <c r="B138" s="9" t="s">
        <v>67</v>
      </c>
      <c r="C138" s="12" t="s">
        <v>41</v>
      </c>
      <c r="D138" s="9" t="s">
        <v>68</v>
      </c>
      <c r="E138" s="8" t="s">
        <v>4</v>
      </c>
      <c r="F138" s="8">
        <v>1</v>
      </c>
      <c r="G138" s="8">
        <v>999</v>
      </c>
      <c r="H138" s="8">
        <v>15</v>
      </c>
      <c r="I138" s="8">
        <v>1</v>
      </c>
      <c r="J138" t="str">
        <f t="shared" si="6"/>
        <v>2101A=3</v>
      </c>
      <c r="R138" t="str">
        <f t="shared" si="7"/>
        <v>{idk:80, rincian:'Rincian VD jumlah kol 2', kondisi: '&gt;0', fatal:1},</v>
      </c>
    </row>
    <row r="139" spans="1:18" x14ac:dyDescent="0.25">
      <c r="A139" s="8">
        <v>81</v>
      </c>
      <c r="B139" s="9" t="s">
        <v>67</v>
      </c>
      <c r="C139" s="12" t="s">
        <v>43</v>
      </c>
      <c r="D139" s="9" t="s">
        <v>69</v>
      </c>
      <c r="E139" s="8" t="s">
        <v>4</v>
      </c>
      <c r="F139" s="8">
        <v>1</v>
      </c>
      <c r="G139" s="8">
        <v>999</v>
      </c>
      <c r="H139" s="8">
        <v>11</v>
      </c>
      <c r="I139" s="8">
        <v>1</v>
      </c>
      <c r="J139" t="str">
        <f t="shared" si="6"/>
        <v>2101A=4</v>
      </c>
      <c r="R139" t="str">
        <f t="shared" si="7"/>
        <v>{idk:81, rincian:'Rincian VE 1a kol 2', kondisi: '&gt;0', fatal:1},</v>
      </c>
    </row>
    <row r="140" spans="1:18" x14ac:dyDescent="0.25">
      <c r="A140" s="8">
        <v>9</v>
      </c>
      <c r="B140" s="9">
        <v>617</v>
      </c>
      <c r="C140" s="12" t="s">
        <v>8</v>
      </c>
      <c r="D140" s="9" t="s">
        <v>9</v>
      </c>
      <c r="E140" s="8" t="s">
        <v>4</v>
      </c>
      <c r="F140" s="8">
        <v>1</v>
      </c>
      <c r="G140" s="8">
        <v>999</v>
      </c>
      <c r="H140" s="8">
        <v>11</v>
      </c>
      <c r="I140" s="8">
        <v>1</v>
      </c>
      <c r="J140" t="str">
        <f t="shared" si="6"/>
        <v>617=1</v>
      </c>
      <c r="R140" t="str">
        <f t="shared" si="7"/>
        <v>{idk:9, rincian:'Rincian VE 1b kol 2', kondisi: '&gt;0', fatal:1},</v>
      </c>
    </row>
    <row r="141" spans="1:18" x14ac:dyDescent="0.25">
      <c r="A141" s="8">
        <v>86</v>
      </c>
      <c r="B141" s="9">
        <v>2203</v>
      </c>
      <c r="C141" s="12" t="s">
        <v>8</v>
      </c>
      <c r="D141" s="9" t="s">
        <v>9</v>
      </c>
      <c r="E141" s="8" t="s">
        <v>4</v>
      </c>
      <c r="F141" s="8">
        <v>1</v>
      </c>
      <c r="G141" s="8">
        <v>999</v>
      </c>
      <c r="H141" s="8">
        <v>11</v>
      </c>
      <c r="I141" s="8">
        <v>1</v>
      </c>
      <c r="J141" t="str">
        <f t="shared" si="6"/>
        <v>2203=1</v>
      </c>
      <c r="R141" t="str">
        <f t="shared" si="7"/>
        <v>{idk:86, rincian:'Rincian VE 1b kol 2', kondisi: '&gt;0', fatal:1},</v>
      </c>
    </row>
    <row r="142" spans="1:18" x14ac:dyDescent="0.25">
      <c r="A142" s="8">
        <v>87</v>
      </c>
      <c r="B142" s="9" t="s">
        <v>73</v>
      </c>
      <c r="C142" s="12" t="s">
        <v>8</v>
      </c>
      <c r="D142" s="9" t="s">
        <v>9</v>
      </c>
      <c r="E142" s="8" t="s">
        <v>4</v>
      </c>
      <c r="F142" s="8">
        <v>1</v>
      </c>
      <c r="G142" s="8">
        <v>999</v>
      </c>
      <c r="H142" s="8">
        <v>11</v>
      </c>
      <c r="I142" s="8">
        <v>1</v>
      </c>
      <c r="J142" t="str">
        <f t="shared" si="6"/>
        <v>2205A=1</v>
      </c>
      <c r="R142" t="str">
        <f t="shared" si="7"/>
        <v>{idk:87, rincian:'Rincian VE 1b kol 2', kondisi: '&gt;0', fatal:1},</v>
      </c>
    </row>
    <row r="143" spans="1:18" x14ac:dyDescent="0.25">
      <c r="A143" s="8">
        <v>88</v>
      </c>
      <c r="B143" s="9" t="s">
        <v>74</v>
      </c>
      <c r="C143" s="8" t="s">
        <v>8</v>
      </c>
      <c r="D143" s="9" t="s">
        <v>9</v>
      </c>
      <c r="E143" s="8" t="s">
        <v>4</v>
      </c>
      <c r="F143" s="8">
        <v>1</v>
      </c>
      <c r="G143" s="8">
        <v>999</v>
      </c>
      <c r="H143" s="8">
        <v>11</v>
      </c>
      <c r="I143" s="8">
        <v>1</v>
      </c>
      <c r="J143" t="str">
        <f t="shared" si="6"/>
        <v>2205B=1</v>
      </c>
      <c r="R143" t="str">
        <f t="shared" si="7"/>
        <v>{idk:88, rincian:'Rincian VE 1b kol 2', kondisi: '&gt;0', fatal:1},</v>
      </c>
    </row>
    <row r="144" spans="1:18" x14ac:dyDescent="0.25">
      <c r="A144" s="8">
        <v>89</v>
      </c>
      <c r="B144" s="9">
        <v>2206</v>
      </c>
      <c r="C144" s="12" t="s">
        <v>8</v>
      </c>
      <c r="D144" s="9" t="s">
        <v>9</v>
      </c>
      <c r="E144" s="8" t="s">
        <v>4</v>
      </c>
      <c r="F144" s="8">
        <v>1</v>
      </c>
      <c r="G144" s="8">
        <v>999</v>
      </c>
      <c r="H144" s="8">
        <v>11</v>
      </c>
      <c r="I144" s="8">
        <v>1</v>
      </c>
      <c r="J144" t="str">
        <f t="shared" si="6"/>
        <v>2206=1</v>
      </c>
      <c r="R144" t="str">
        <f t="shared" si="7"/>
        <v>{idk:89, rincian:'Rincian VE 1b kol 2', kondisi: '&gt;0', fatal:1},</v>
      </c>
    </row>
    <row r="145" spans="1:18" x14ac:dyDescent="0.25">
      <c r="A145" s="8">
        <v>90</v>
      </c>
      <c r="B145" s="9">
        <v>2207</v>
      </c>
      <c r="C145" s="12" t="s">
        <v>8</v>
      </c>
      <c r="D145" s="9" t="s">
        <v>9</v>
      </c>
      <c r="E145" s="8" t="s">
        <v>4</v>
      </c>
      <c r="F145" s="8">
        <v>1</v>
      </c>
      <c r="G145" s="8">
        <v>999</v>
      </c>
      <c r="H145" s="8">
        <v>11</v>
      </c>
      <c r="I145" s="8">
        <v>1</v>
      </c>
      <c r="J145" t="str">
        <f t="shared" si="6"/>
        <v>2207=1</v>
      </c>
      <c r="R145" t="str">
        <f t="shared" si="7"/>
        <v>{idk:90, rincian:'Rincian VE 1b kol 2', kondisi: '&gt;0', fatal:1},</v>
      </c>
    </row>
    <row r="146" spans="1:18" x14ac:dyDescent="0.25">
      <c r="A146" s="8">
        <v>91</v>
      </c>
      <c r="B146" s="9" t="s">
        <v>75</v>
      </c>
      <c r="C146" s="12" t="s">
        <v>8</v>
      </c>
      <c r="D146" s="9" t="s">
        <v>9</v>
      </c>
      <c r="E146" s="8" t="s">
        <v>4</v>
      </c>
      <c r="F146" s="8">
        <v>1</v>
      </c>
      <c r="G146" s="8">
        <v>999</v>
      </c>
      <c r="H146" s="8">
        <v>11</v>
      </c>
      <c r="I146" s="8">
        <v>1</v>
      </c>
      <c r="J146" t="str">
        <f t="shared" si="6"/>
        <v>2209A=1</v>
      </c>
      <c r="R146" t="str">
        <f t="shared" si="7"/>
        <v>{idk:91, rincian:'Rincian VE 1b kol 2', kondisi: '&gt;0', fatal:1},</v>
      </c>
    </row>
    <row r="147" spans="1:18" x14ac:dyDescent="0.25">
      <c r="A147" s="8">
        <v>92</v>
      </c>
      <c r="B147" s="9" t="s">
        <v>76</v>
      </c>
      <c r="C147" s="12" t="s">
        <v>8</v>
      </c>
      <c r="D147" s="9" t="s">
        <v>9</v>
      </c>
      <c r="E147" s="8" t="s">
        <v>4</v>
      </c>
      <c r="F147" s="8">
        <v>1</v>
      </c>
      <c r="G147" s="8">
        <v>999</v>
      </c>
      <c r="H147" s="8">
        <v>11</v>
      </c>
      <c r="I147" s="8">
        <v>1</v>
      </c>
      <c r="J147" t="str">
        <f t="shared" si="6"/>
        <v>2209B=1</v>
      </c>
      <c r="R147" t="str">
        <f t="shared" si="7"/>
        <v>{idk:92, rincian:'Rincian VE 1b kol 2', kondisi: '&gt;0', fatal:1},</v>
      </c>
    </row>
    <row r="148" spans="1:18" x14ac:dyDescent="0.25">
      <c r="A148" s="8">
        <v>95</v>
      </c>
      <c r="B148" s="9" t="s">
        <v>79</v>
      </c>
      <c r="C148" s="12" t="s">
        <v>8</v>
      </c>
      <c r="D148" s="9" t="s">
        <v>9</v>
      </c>
      <c r="E148" s="8" t="s">
        <v>4</v>
      </c>
      <c r="F148" s="8">
        <v>1</v>
      </c>
      <c r="G148" s="8">
        <v>999</v>
      </c>
      <c r="H148" s="8">
        <v>11</v>
      </c>
      <c r="I148" s="8">
        <v>1</v>
      </c>
      <c r="J148" t="str">
        <f t="shared" si="6"/>
        <v>2210B=1</v>
      </c>
      <c r="R148" t="str">
        <f t="shared" si="7"/>
        <v>{idk:95, rincian:'Rincian VE 1b kol 2', kondisi: '&gt;0', fatal:1},</v>
      </c>
    </row>
    <row r="149" spans="1:18" x14ac:dyDescent="0.25">
      <c r="A149" s="8">
        <v>14</v>
      </c>
      <c r="B149" s="9">
        <v>709</v>
      </c>
      <c r="C149" s="12" t="s">
        <v>8</v>
      </c>
      <c r="D149" s="9" t="s">
        <v>9</v>
      </c>
      <c r="E149" s="8" t="s">
        <v>4</v>
      </c>
      <c r="F149" s="8">
        <v>2</v>
      </c>
      <c r="G149" s="8">
        <v>999</v>
      </c>
      <c r="H149" s="8">
        <v>11</v>
      </c>
      <c r="I149" s="8">
        <v>1</v>
      </c>
      <c r="J149" t="str">
        <f t="shared" si="6"/>
        <v>709=1</v>
      </c>
      <c r="R149" t="str">
        <f t="shared" si="7"/>
        <v>{idk:14, rincian:'Rincian VE 1b kol 2', kondisi: '&gt;0', fatal:2},</v>
      </c>
    </row>
    <row r="150" spans="1:18" x14ac:dyDescent="0.25">
      <c r="A150" s="8">
        <v>85</v>
      </c>
      <c r="B150" s="9">
        <v>2202</v>
      </c>
      <c r="C150" s="8" t="s">
        <v>6</v>
      </c>
      <c r="D150" s="9" t="s">
        <v>72</v>
      </c>
      <c r="E150" s="8" t="s">
        <v>4</v>
      </c>
      <c r="F150" s="8">
        <v>1</v>
      </c>
      <c r="G150" s="8">
        <v>999</v>
      </c>
      <c r="H150" s="8">
        <v>24</v>
      </c>
      <c r="I150" s="8">
        <v>1</v>
      </c>
      <c r="J150" t="str">
        <f t="shared" si="6"/>
        <v>2202=1,2</v>
      </c>
      <c r="R150" t="str">
        <f t="shared" si="7"/>
        <v>{idk:85, rincian:'Rincian VE 1b kol 2 +VE 1b kol 3', kondisi: '&gt;0', fatal:1},</v>
      </c>
    </row>
    <row r="151" spans="1:18" x14ac:dyDescent="0.25">
      <c r="A151" s="8">
        <v>96</v>
      </c>
      <c r="B151" s="9" t="s">
        <v>80</v>
      </c>
      <c r="C151" s="12" t="s">
        <v>8</v>
      </c>
      <c r="D151" s="9" t="s">
        <v>72</v>
      </c>
      <c r="E151" s="8" t="s">
        <v>4</v>
      </c>
      <c r="F151" s="8">
        <v>1</v>
      </c>
      <c r="G151" s="8">
        <v>999</v>
      </c>
      <c r="H151" s="8">
        <v>24</v>
      </c>
      <c r="I151" s="8">
        <v>1</v>
      </c>
      <c r="J151" t="str">
        <f t="shared" si="6"/>
        <v>2211A=1</v>
      </c>
      <c r="R151" t="str">
        <f t="shared" si="7"/>
        <v>{idk:96, rincian:'Rincian VE 1b kol 2 +VE 1b kol 3', kondisi: '&gt;0', fatal:1},</v>
      </c>
    </row>
    <row r="152" spans="1:18" x14ac:dyDescent="0.25">
      <c r="A152" s="8">
        <v>97</v>
      </c>
      <c r="B152" s="9" t="s">
        <v>81</v>
      </c>
      <c r="C152" s="12" t="s">
        <v>8</v>
      </c>
      <c r="D152" s="9" t="s">
        <v>72</v>
      </c>
      <c r="E152" s="8" t="s">
        <v>4</v>
      </c>
      <c r="F152" s="8">
        <v>1</v>
      </c>
      <c r="G152" s="8">
        <v>999</v>
      </c>
      <c r="H152" s="8">
        <v>24</v>
      </c>
      <c r="I152" s="8">
        <v>1</v>
      </c>
      <c r="J152" t="str">
        <f t="shared" si="6"/>
        <v>2211B=1</v>
      </c>
      <c r="R152" t="str">
        <f t="shared" si="7"/>
        <v>{idk:97, rincian:'Rincian VE 1b kol 2 +VE 1b kol 3', kondisi: '&gt;0', fatal:1},</v>
      </c>
    </row>
    <row r="153" spans="1:18" x14ac:dyDescent="0.25">
      <c r="A153" s="8">
        <v>21</v>
      </c>
      <c r="B153" s="9">
        <v>1101</v>
      </c>
      <c r="C153" s="8" t="s">
        <v>16</v>
      </c>
      <c r="D153" s="9" t="s">
        <v>15</v>
      </c>
      <c r="E153" s="8" t="s">
        <v>4</v>
      </c>
      <c r="F153" s="11">
        <v>1</v>
      </c>
      <c r="G153" s="8">
        <v>999</v>
      </c>
      <c r="H153" s="8">
        <v>11</v>
      </c>
      <c r="I153" s="8">
        <v>1</v>
      </c>
      <c r="J153" t="str">
        <f t="shared" si="6"/>
        <v>1101=A</v>
      </c>
      <c r="R153" t="str">
        <f t="shared" si="7"/>
        <v>{idk:21, rincian:'Rincian VE 1b kol 3', kondisi: '&gt;0', fatal:1},</v>
      </c>
    </row>
    <row r="154" spans="1:18" x14ac:dyDescent="0.25">
      <c r="A154" s="8">
        <v>93</v>
      </c>
      <c r="B154" s="9" t="s">
        <v>77</v>
      </c>
      <c r="C154" s="12" t="s">
        <v>8</v>
      </c>
      <c r="D154" s="9" t="s">
        <v>15</v>
      </c>
      <c r="E154" s="8" t="s">
        <v>4</v>
      </c>
      <c r="F154" s="8">
        <v>1</v>
      </c>
      <c r="G154" s="8">
        <v>999</v>
      </c>
      <c r="H154" s="8">
        <v>11</v>
      </c>
      <c r="I154" s="8">
        <v>1</v>
      </c>
      <c r="J154" t="str">
        <f t="shared" si="6"/>
        <v>2209C=1</v>
      </c>
      <c r="R154" t="str">
        <f t="shared" si="7"/>
        <v>{idk:93, rincian:'Rincian VE 1b kol 3', kondisi: '&gt;0', fatal:1},</v>
      </c>
    </row>
    <row r="155" spans="1:18" x14ac:dyDescent="0.25">
      <c r="A155" s="8">
        <v>94</v>
      </c>
      <c r="B155" s="9" t="s">
        <v>78</v>
      </c>
      <c r="C155" s="12" t="s">
        <v>8</v>
      </c>
      <c r="D155" s="9" t="s">
        <v>15</v>
      </c>
      <c r="E155" s="8" t="s">
        <v>4</v>
      </c>
      <c r="F155" s="8">
        <v>1</v>
      </c>
      <c r="G155" s="8">
        <v>999</v>
      </c>
      <c r="H155" s="8">
        <v>11</v>
      </c>
      <c r="I155" s="8">
        <v>1</v>
      </c>
      <c r="J155" t="str">
        <f t="shared" si="6"/>
        <v>2209D=1</v>
      </c>
      <c r="R155" t="str">
        <f t="shared" si="7"/>
        <v>{idk:94, rincian:'Rincian VE 1b kol 3', kondisi: '&gt;0', fatal:1},</v>
      </c>
    </row>
    <row r="156" spans="1:18" x14ac:dyDescent="0.25">
      <c r="A156" s="8">
        <v>14</v>
      </c>
      <c r="B156" s="9">
        <v>709</v>
      </c>
      <c r="C156" s="12" t="s">
        <v>8</v>
      </c>
      <c r="D156" s="9" t="s">
        <v>15</v>
      </c>
      <c r="E156" s="8" t="s">
        <v>4</v>
      </c>
      <c r="F156" s="8">
        <v>2</v>
      </c>
      <c r="G156" s="8">
        <v>999</v>
      </c>
      <c r="H156" s="8">
        <v>11</v>
      </c>
      <c r="I156" s="8">
        <v>1</v>
      </c>
      <c r="R156" t="str">
        <f>CONCATENATE("{idk:",A156,", rincian:'Rincian ",D156,"', kondisi: '",E156,"', fatal:",F156,"},")</f>
        <v>{idk:14, rincian:'Rincian VE 1b kol 3', kondisi: '&gt;0', fatal:2},</v>
      </c>
    </row>
    <row r="157" spans="1:18" x14ac:dyDescent="0.25">
      <c r="A157" s="8">
        <v>82</v>
      </c>
      <c r="B157" s="9" t="s">
        <v>70</v>
      </c>
      <c r="C157" s="12" t="s">
        <v>10</v>
      </c>
      <c r="D157" s="9" t="s">
        <v>106</v>
      </c>
      <c r="E157" s="8" t="s">
        <v>4</v>
      </c>
      <c r="F157" s="8">
        <v>1</v>
      </c>
      <c r="G157" s="8">
        <v>999</v>
      </c>
      <c r="H157" s="8">
        <v>23</v>
      </c>
      <c r="I157" s="8">
        <v>1</v>
      </c>
      <c r="R157" t="str">
        <f t="shared" ref="R157:R166" si="8">CONCATENATE("{idk:",A157,", rincian:'Rincian ",D157,"', kondisi: '",E157,"', fatal:",F157,"},")</f>
        <v>{idk:82, rincian:'Rincian VE 3 kol 2 + VE 3 kol 3', kondisi: '&gt;0', fatal:1},</v>
      </c>
    </row>
    <row r="158" spans="1:18" x14ac:dyDescent="0.25">
      <c r="A158" s="8">
        <v>3</v>
      </c>
      <c r="B158" s="9">
        <v>407</v>
      </c>
      <c r="C158" s="12" t="s">
        <v>2</v>
      </c>
      <c r="D158" s="9" t="s">
        <v>106</v>
      </c>
      <c r="E158" s="8" t="s">
        <v>4</v>
      </c>
      <c r="F158" s="8">
        <v>2</v>
      </c>
      <c r="G158" s="8">
        <v>999</v>
      </c>
      <c r="H158" s="8">
        <v>23</v>
      </c>
      <c r="I158" s="8">
        <v>1</v>
      </c>
      <c r="R158" t="str">
        <f t="shared" si="8"/>
        <v>{idk:3, rincian:'Rincian VE 3 kol 2 + VE 3 kol 3', kondisi: '&gt;0', fatal:2},</v>
      </c>
    </row>
    <row r="159" spans="1:18" x14ac:dyDescent="0.25">
      <c r="A159" s="8">
        <v>5</v>
      </c>
      <c r="B159" s="9" t="s">
        <v>96</v>
      </c>
      <c r="C159" s="8" t="s">
        <v>5</v>
      </c>
      <c r="D159" s="9" t="s">
        <v>106</v>
      </c>
      <c r="E159" s="8" t="s">
        <v>4</v>
      </c>
      <c r="F159" s="8">
        <v>2</v>
      </c>
      <c r="G159" s="8">
        <v>999</v>
      </c>
      <c r="H159" s="8">
        <v>23</v>
      </c>
      <c r="I159" s="8">
        <v>1</v>
      </c>
      <c r="R159" t="str">
        <f t="shared" si="8"/>
        <v>{idk:5, rincian:'Rincian VE 3 kol 2 + VE 3 kol 3', kondisi: '&gt;0', fatal:2},</v>
      </c>
    </row>
    <row r="160" spans="1:18" x14ac:dyDescent="0.25">
      <c r="A160" s="8">
        <v>53</v>
      </c>
      <c r="B160" s="9">
        <v>1802</v>
      </c>
      <c r="C160" s="8" t="s">
        <v>41</v>
      </c>
      <c r="D160" s="9" t="s">
        <v>42</v>
      </c>
      <c r="E160" s="8" t="s">
        <v>4</v>
      </c>
      <c r="F160" s="8">
        <v>1</v>
      </c>
      <c r="G160" s="8">
        <v>999</v>
      </c>
      <c r="H160" s="8">
        <v>10</v>
      </c>
      <c r="I160" s="8">
        <v>1</v>
      </c>
      <c r="R160" t="str">
        <f t="shared" si="8"/>
        <v>{idk:53, rincian:'Rincian VE 3 kol 3', kondisi: '&gt;0', fatal:1},</v>
      </c>
    </row>
    <row r="161" spans="1:18" x14ac:dyDescent="0.25">
      <c r="A161" s="8">
        <v>3</v>
      </c>
      <c r="B161" s="9">
        <v>407</v>
      </c>
      <c r="C161" s="12" t="s">
        <v>2</v>
      </c>
      <c r="D161" s="9" t="s">
        <v>107</v>
      </c>
      <c r="E161" s="8" t="s">
        <v>4</v>
      </c>
      <c r="F161" s="8">
        <v>2</v>
      </c>
      <c r="G161" s="8">
        <v>999</v>
      </c>
      <c r="H161" s="8">
        <v>23</v>
      </c>
      <c r="I161" s="8">
        <v>1</v>
      </c>
      <c r="R161" t="str">
        <f t="shared" si="8"/>
        <v>{idk:3, rincian:'Rincian VE 3 kol 4 + VE 3 kol 5', kondisi: '&gt;0', fatal:2},</v>
      </c>
    </row>
    <row r="162" spans="1:18" x14ac:dyDescent="0.25">
      <c r="A162" s="8">
        <v>5</v>
      </c>
      <c r="B162" s="9" t="s">
        <v>96</v>
      </c>
      <c r="C162" s="8" t="s">
        <v>5</v>
      </c>
      <c r="D162" s="9" t="s">
        <v>107</v>
      </c>
      <c r="E162" s="8" t="s">
        <v>4</v>
      </c>
      <c r="F162" s="8">
        <v>2</v>
      </c>
      <c r="G162" s="8">
        <v>999</v>
      </c>
      <c r="H162" s="8">
        <v>23</v>
      </c>
      <c r="I162" s="8">
        <v>1</v>
      </c>
      <c r="R162" t="str">
        <f t="shared" si="8"/>
        <v>{idk:5, rincian:'Rincian VE 3 kol 4 + VE 3 kol 5', kondisi: '&gt;0', fatal:2},</v>
      </c>
    </row>
    <row r="163" spans="1:18" x14ac:dyDescent="0.25">
      <c r="A163" s="8">
        <v>79</v>
      </c>
      <c r="B163" s="9" t="s">
        <v>67</v>
      </c>
      <c r="C163" s="12" t="s">
        <v>7</v>
      </c>
      <c r="D163" s="9" t="s">
        <v>118</v>
      </c>
      <c r="E163" s="8" t="s">
        <v>4</v>
      </c>
      <c r="F163" s="8">
        <v>1</v>
      </c>
      <c r="G163" s="8">
        <v>999</v>
      </c>
      <c r="H163" s="8">
        <v>33</v>
      </c>
      <c r="I163" s="8">
        <v>1</v>
      </c>
      <c r="R163" t="str">
        <f t="shared" si="8"/>
        <v>{idk:79, rincian:'Rincian VE jumlah kol 2 + VE jumlah kol 3', kondisi: '&gt;0', fatal:1},</v>
      </c>
    </row>
    <row r="164" spans="1:18" x14ac:dyDescent="0.25">
      <c r="A164" s="8">
        <v>56</v>
      </c>
      <c r="B164" s="9" t="s">
        <v>45</v>
      </c>
      <c r="C164" s="8" t="s">
        <v>46</v>
      </c>
      <c r="D164" s="9" t="s">
        <v>110</v>
      </c>
      <c r="E164" s="8" t="s">
        <v>4</v>
      </c>
      <c r="F164" s="8">
        <v>1</v>
      </c>
      <c r="G164" s="8">
        <v>999</v>
      </c>
      <c r="H164" s="8">
        <v>10</v>
      </c>
      <c r="I164" s="8">
        <v>1</v>
      </c>
      <c r="R164" t="str">
        <f t="shared" si="8"/>
        <v>{idk:56, rincian:'Rincian VG 2 kol 2', kondisi: '&gt;0', fatal:1},</v>
      </c>
    </row>
    <row r="165" spans="1:18" x14ac:dyDescent="0.25">
      <c r="A165" s="8">
        <v>69</v>
      </c>
      <c r="B165" s="9">
        <v>1901</v>
      </c>
      <c r="C165" s="8" t="s">
        <v>8</v>
      </c>
      <c r="D165" s="9" t="s">
        <v>113</v>
      </c>
      <c r="E165" s="8" t="s">
        <v>4</v>
      </c>
      <c r="F165" s="8">
        <v>2</v>
      </c>
      <c r="G165" s="8">
        <v>999</v>
      </c>
      <c r="H165" s="8">
        <v>25</v>
      </c>
      <c r="I165" s="8">
        <v>1</v>
      </c>
      <c r="R165" t="str">
        <f t="shared" si="8"/>
        <v>{idk:69, rincian:'Rincian VII 2 kol 2 + VII 4 kol 2', kondisi: '&gt;0', fatal:2},</v>
      </c>
    </row>
    <row r="166" spans="1:18" x14ac:dyDescent="0.25">
      <c r="A166" s="8">
        <v>69</v>
      </c>
      <c r="B166" s="9">
        <v>1901</v>
      </c>
      <c r="C166" s="12" t="s">
        <v>8</v>
      </c>
      <c r="D166" s="9" t="s">
        <v>114</v>
      </c>
      <c r="E166" s="8" t="s">
        <v>4</v>
      </c>
      <c r="F166" s="8">
        <v>2</v>
      </c>
      <c r="G166" s="8">
        <v>999</v>
      </c>
      <c r="H166" s="8">
        <v>25</v>
      </c>
      <c r="I166" s="8">
        <v>1</v>
      </c>
      <c r="R166" t="str">
        <f t="shared" si="8"/>
        <v>{idk:69, rincian:'Rincian VII 2 kol 4 + VII 4 kol 4', kondisi: '&gt;0', fatal:2},</v>
      </c>
    </row>
  </sheetData>
  <sortState xmlns:xlrd2="http://schemas.microsoft.com/office/spreadsheetml/2017/richdata2" ref="A3:I166">
    <sortCondition ref="G3:G166"/>
    <sortCondition ref="D3:D166"/>
    <sortCondition ref="F3:F166"/>
  </sortState>
  <mergeCells count="1">
    <mergeCell ref="J1:L1"/>
  </mergeCells>
  <conditionalFormatting sqref="J3:J155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awal</vt:lpstr>
      <vt:lpstr>sort 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</cp:lastModifiedBy>
  <dcterms:created xsi:type="dcterms:W3CDTF">2022-03-05T11:16:16Z</dcterms:created>
  <dcterms:modified xsi:type="dcterms:W3CDTF">2024-01-18T07:16:28Z</dcterms:modified>
</cp:coreProperties>
</file>