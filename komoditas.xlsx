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IPDS PC\Downloads\well-known\"/>
    </mc:Choice>
  </mc:AlternateContent>
  <xr:revisionPtr revIDLastSave="0" documentId="13_ncr:1_{B99706F1-FC26-488B-967A-FDEFB3B42081}" xr6:coauthVersionLast="36" xr6:coauthVersionMax="47" xr10:uidLastSave="{00000000-0000-0000-0000-000000000000}"/>
  <bookViews>
    <workbookView xWindow="0" yWindow="0" windowWidth="28800" windowHeight="1180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Sheet1!$A$1:$N$132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2" i="1"/>
  <c r="M116" i="1" l="1"/>
  <c r="M118" i="1"/>
  <c r="M119" i="1"/>
  <c r="M120" i="1"/>
  <c r="M121" i="1"/>
  <c r="M122" i="1"/>
  <c r="L116" i="1"/>
  <c r="L118" i="1"/>
  <c r="L119" i="1"/>
  <c r="K100" i="1"/>
  <c r="M100" i="1" s="1"/>
  <c r="K101" i="1"/>
  <c r="M101" i="1" s="1"/>
  <c r="K102" i="1"/>
  <c r="M102" i="1" s="1"/>
  <c r="J100" i="1"/>
  <c r="L100" i="1" s="1"/>
  <c r="J101" i="1"/>
  <c r="L101" i="1" s="1"/>
  <c r="J102" i="1"/>
  <c r="L102" i="1" s="1"/>
  <c r="J2" i="1" l="1"/>
  <c r="J117" i="1"/>
  <c r="L117" i="1" s="1"/>
  <c r="K117" i="1"/>
  <c r="M117" i="1" s="1"/>
  <c r="J116" i="1"/>
  <c r="K116" i="1"/>
  <c r="J88" i="1"/>
  <c r="K88" i="1"/>
  <c r="J79" i="1"/>
  <c r="K79" i="1"/>
  <c r="J14" i="1"/>
  <c r="K14" i="1"/>
  <c r="J24" i="1"/>
  <c r="K24" i="1"/>
  <c r="K3" i="1"/>
  <c r="K4" i="1"/>
  <c r="M4" i="1" s="1"/>
  <c r="K5" i="1"/>
  <c r="M5" i="1" s="1"/>
  <c r="K6" i="1"/>
  <c r="K7" i="1"/>
  <c r="M7" i="1" s="1"/>
  <c r="K8" i="1"/>
  <c r="M8" i="1" s="1"/>
  <c r="K9" i="1"/>
  <c r="M9" i="1" s="1"/>
  <c r="K10" i="1"/>
  <c r="K11" i="1"/>
  <c r="M11" i="1" s="1"/>
  <c r="K12" i="1"/>
  <c r="M12" i="1" s="1"/>
  <c r="K13" i="1"/>
  <c r="M13" i="1" s="1"/>
  <c r="K16" i="1"/>
  <c r="M16" i="1" s="1"/>
  <c r="K17" i="1"/>
  <c r="K18" i="1"/>
  <c r="K19" i="1"/>
  <c r="K20" i="1"/>
  <c r="K21" i="1"/>
  <c r="K22" i="1"/>
  <c r="K23" i="1"/>
  <c r="K25" i="1"/>
  <c r="K26" i="1"/>
  <c r="K27" i="1"/>
  <c r="M27" i="1" s="1"/>
  <c r="K28" i="1"/>
  <c r="K29" i="1"/>
  <c r="K30" i="1"/>
  <c r="K31" i="1"/>
  <c r="M31" i="1" s="1"/>
  <c r="K32" i="1"/>
  <c r="M32" i="1" s="1"/>
  <c r="K33" i="1"/>
  <c r="K34" i="1"/>
  <c r="K35" i="1"/>
  <c r="M35" i="1" s="1"/>
  <c r="K36" i="1"/>
  <c r="M36" i="1" s="1"/>
  <c r="K37" i="1"/>
  <c r="K38" i="1"/>
  <c r="K39" i="1"/>
  <c r="M39" i="1" s="1"/>
  <c r="K40" i="1"/>
  <c r="K41" i="1"/>
  <c r="K42" i="1"/>
  <c r="K43" i="1"/>
  <c r="K44" i="1"/>
  <c r="K45" i="1"/>
  <c r="K46" i="1"/>
  <c r="K47" i="1"/>
  <c r="M47" i="1" s="1"/>
  <c r="K48" i="1"/>
  <c r="K49" i="1"/>
  <c r="K50" i="1"/>
  <c r="K51" i="1"/>
  <c r="M51" i="1" s="1"/>
  <c r="K52" i="1"/>
  <c r="M52" i="1" s="1"/>
  <c r="K53" i="1"/>
  <c r="K54" i="1"/>
  <c r="K55" i="1"/>
  <c r="M55" i="1" s="1"/>
  <c r="K56" i="1"/>
  <c r="M56" i="1" s="1"/>
  <c r="K57" i="1"/>
  <c r="K58" i="1"/>
  <c r="K59" i="1"/>
  <c r="M59" i="1" s="1"/>
  <c r="K60" i="1"/>
  <c r="K61" i="1"/>
  <c r="K62" i="1"/>
  <c r="K63" i="1"/>
  <c r="K64" i="1"/>
  <c r="K65" i="1"/>
  <c r="K66" i="1"/>
  <c r="K67" i="1"/>
  <c r="M67" i="1" s="1"/>
  <c r="K68" i="1"/>
  <c r="K69" i="1"/>
  <c r="K70" i="1"/>
  <c r="K71" i="1"/>
  <c r="M71" i="1" s="1"/>
  <c r="K72" i="1"/>
  <c r="M72" i="1" s="1"/>
  <c r="K73" i="1"/>
  <c r="K74" i="1"/>
  <c r="K75" i="1"/>
  <c r="M75" i="1" s="1"/>
  <c r="K76" i="1"/>
  <c r="M76" i="1" s="1"/>
  <c r="K77" i="1"/>
  <c r="K78" i="1"/>
  <c r="K80" i="1"/>
  <c r="M80" i="1" s="1"/>
  <c r="K81" i="1"/>
  <c r="M81" i="1" s="1"/>
  <c r="K82" i="1"/>
  <c r="K83" i="1"/>
  <c r="M83" i="1" s="1"/>
  <c r="K84" i="1"/>
  <c r="M84" i="1" s="1"/>
  <c r="K85" i="1"/>
  <c r="M85" i="1" s="1"/>
  <c r="K86" i="1"/>
  <c r="K87" i="1"/>
  <c r="M87" i="1" s="1"/>
  <c r="K89" i="1"/>
  <c r="M89" i="1" s="1"/>
  <c r="K90" i="1"/>
  <c r="K91" i="1"/>
  <c r="K92" i="1"/>
  <c r="K93" i="1"/>
  <c r="K94" i="1"/>
  <c r="K95" i="1"/>
  <c r="K96" i="1"/>
  <c r="K97" i="1"/>
  <c r="K98" i="1"/>
  <c r="K99" i="1"/>
  <c r="K103" i="1"/>
  <c r="M103" i="1" s="1"/>
  <c r="K104" i="1"/>
  <c r="K105" i="1"/>
  <c r="M105" i="1" s="1"/>
  <c r="K106" i="1"/>
  <c r="K107" i="1"/>
  <c r="M107" i="1" s="1"/>
  <c r="K108" i="1"/>
  <c r="K109" i="1"/>
  <c r="M109" i="1" s="1"/>
  <c r="K110" i="1"/>
  <c r="K111" i="1"/>
  <c r="K112" i="1"/>
  <c r="K113" i="1"/>
  <c r="K114" i="1"/>
  <c r="K115" i="1"/>
  <c r="K118" i="1"/>
  <c r="K119" i="1"/>
  <c r="K120" i="1"/>
  <c r="K121" i="1"/>
  <c r="K122" i="1"/>
  <c r="K123" i="1"/>
  <c r="M123" i="1" s="1"/>
  <c r="K124" i="1"/>
  <c r="K125" i="1"/>
  <c r="K126" i="1"/>
  <c r="K127" i="1"/>
  <c r="K128" i="1"/>
  <c r="K129" i="1"/>
  <c r="K130" i="1"/>
  <c r="K131" i="1"/>
  <c r="K132" i="1"/>
  <c r="J3" i="1"/>
  <c r="J4" i="1"/>
  <c r="J5" i="1"/>
  <c r="J6" i="1"/>
  <c r="J7" i="1"/>
  <c r="J8" i="1"/>
  <c r="J9" i="1"/>
  <c r="J10" i="1"/>
  <c r="J11" i="1"/>
  <c r="J12" i="1"/>
  <c r="L12" i="1" s="1"/>
  <c r="J13" i="1"/>
  <c r="J16" i="1"/>
  <c r="J17" i="1"/>
  <c r="J18" i="1"/>
  <c r="L18" i="1" s="1"/>
  <c r="J19" i="1"/>
  <c r="J20" i="1"/>
  <c r="J21" i="1"/>
  <c r="J22" i="1"/>
  <c r="J23" i="1"/>
  <c r="J25" i="1"/>
  <c r="J26" i="1"/>
  <c r="L26" i="1" s="1"/>
  <c r="J27" i="1"/>
  <c r="L27" i="1" s="1"/>
  <c r="J28" i="1"/>
  <c r="J29" i="1"/>
  <c r="J30" i="1"/>
  <c r="L30" i="1" s="1"/>
  <c r="J31" i="1"/>
  <c r="L31" i="1" s="1"/>
  <c r="J32" i="1"/>
  <c r="J33" i="1"/>
  <c r="J34" i="1"/>
  <c r="L34" i="1" s="1"/>
  <c r="J35" i="1"/>
  <c r="L35" i="1" s="1"/>
  <c r="J36" i="1"/>
  <c r="J37" i="1"/>
  <c r="J38" i="1"/>
  <c r="L38" i="1" s="1"/>
  <c r="J39" i="1"/>
  <c r="L39" i="1" s="1"/>
  <c r="J40" i="1"/>
  <c r="J41" i="1"/>
  <c r="J42" i="1"/>
  <c r="L42" i="1" s="1"/>
  <c r="J43" i="1"/>
  <c r="L43" i="1" s="1"/>
  <c r="J44" i="1"/>
  <c r="J45" i="1"/>
  <c r="J46" i="1"/>
  <c r="L46" i="1" s="1"/>
  <c r="J47" i="1"/>
  <c r="L47" i="1" s="1"/>
  <c r="J48" i="1"/>
  <c r="J49" i="1"/>
  <c r="J50" i="1"/>
  <c r="L50" i="1" s="1"/>
  <c r="J51" i="1"/>
  <c r="L51" i="1" s="1"/>
  <c r="J52" i="1"/>
  <c r="J53" i="1"/>
  <c r="J54" i="1"/>
  <c r="L54" i="1" s="1"/>
  <c r="J55" i="1"/>
  <c r="L55" i="1" s="1"/>
  <c r="J56" i="1"/>
  <c r="J57" i="1"/>
  <c r="J58" i="1"/>
  <c r="L58" i="1" s="1"/>
  <c r="J59" i="1"/>
  <c r="L59" i="1" s="1"/>
  <c r="J60" i="1"/>
  <c r="J61" i="1"/>
  <c r="J62" i="1"/>
  <c r="L62" i="1" s="1"/>
  <c r="J63" i="1"/>
  <c r="L63" i="1" s="1"/>
  <c r="J64" i="1"/>
  <c r="J65" i="1"/>
  <c r="J66" i="1"/>
  <c r="L66" i="1" s="1"/>
  <c r="J67" i="1"/>
  <c r="L67" i="1" s="1"/>
  <c r="J68" i="1"/>
  <c r="J69" i="1"/>
  <c r="J70" i="1"/>
  <c r="L70" i="1" s="1"/>
  <c r="J71" i="1"/>
  <c r="L71" i="1" s="1"/>
  <c r="J72" i="1"/>
  <c r="J73" i="1"/>
  <c r="J74" i="1"/>
  <c r="L74" i="1" s="1"/>
  <c r="J75" i="1"/>
  <c r="L75" i="1" s="1"/>
  <c r="J76" i="1"/>
  <c r="J77" i="1"/>
  <c r="J78" i="1"/>
  <c r="L78" i="1" s="1"/>
  <c r="J80" i="1"/>
  <c r="L80" i="1" s="1"/>
  <c r="J81" i="1"/>
  <c r="J82" i="1"/>
  <c r="J83" i="1"/>
  <c r="L83" i="1" s="1"/>
  <c r="J84" i="1"/>
  <c r="L84" i="1" s="1"/>
  <c r="J85" i="1"/>
  <c r="J86" i="1"/>
  <c r="J87" i="1"/>
  <c r="J89" i="1"/>
  <c r="J90" i="1"/>
  <c r="J91" i="1"/>
  <c r="J92" i="1"/>
  <c r="J93" i="1"/>
  <c r="J94" i="1"/>
  <c r="J95" i="1"/>
  <c r="J96" i="1"/>
  <c r="J97" i="1"/>
  <c r="J98" i="1"/>
  <c r="J99" i="1"/>
  <c r="J103" i="1"/>
  <c r="L103" i="1" s="1"/>
  <c r="J104" i="1"/>
  <c r="L104" i="1" s="1"/>
  <c r="J105" i="1"/>
  <c r="J106" i="1"/>
  <c r="L106" i="1" s="1"/>
  <c r="J107" i="1"/>
  <c r="L107" i="1" s="1"/>
  <c r="J108" i="1"/>
  <c r="L108" i="1" s="1"/>
  <c r="J109" i="1"/>
  <c r="J110" i="1"/>
  <c r="J111" i="1"/>
  <c r="J112" i="1"/>
  <c r="J113" i="1"/>
  <c r="J114" i="1"/>
  <c r="J115" i="1"/>
  <c r="J118" i="1"/>
  <c r="J119" i="1"/>
  <c r="J120" i="1"/>
  <c r="J121" i="1"/>
  <c r="J122" i="1"/>
  <c r="L122" i="1" s="1"/>
  <c r="J123" i="1"/>
  <c r="L123" i="1" s="1"/>
  <c r="J124" i="1"/>
  <c r="J125" i="1"/>
  <c r="J126" i="1"/>
  <c r="L126" i="1" s="1"/>
  <c r="J127" i="1"/>
  <c r="J128" i="1"/>
  <c r="J129" i="1"/>
  <c r="J130" i="1"/>
  <c r="J131" i="1"/>
  <c r="J132" i="1"/>
  <c r="K2" i="1"/>
  <c r="M97" i="1" l="1"/>
  <c r="L95" i="1"/>
  <c r="L115" i="1"/>
  <c r="M115" i="1"/>
  <c r="L114" i="1"/>
  <c r="L91" i="1"/>
  <c r="M91" i="1"/>
  <c r="L90" i="1"/>
  <c r="M113" i="1"/>
  <c r="M90" i="1"/>
  <c r="M68" i="1"/>
  <c r="M48" i="1"/>
  <c r="M28" i="1"/>
  <c r="M94" i="1"/>
  <c r="L8" i="1"/>
  <c r="M92" i="1"/>
  <c r="L112" i="1"/>
  <c r="L111" i="1"/>
  <c r="L98" i="1"/>
  <c r="M98" i="1"/>
  <c r="M93" i="1"/>
  <c r="L4" i="1"/>
  <c r="L87" i="1"/>
  <c r="M111" i="1"/>
  <c r="M3" i="1"/>
  <c r="L110" i="1"/>
  <c r="L86" i="1"/>
  <c r="L131" i="1"/>
  <c r="L23" i="1"/>
  <c r="M131" i="1"/>
  <c r="M64" i="1"/>
  <c r="M44" i="1"/>
  <c r="M23" i="1"/>
  <c r="L94" i="1"/>
  <c r="L130" i="1"/>
  <c r="L22" i="1"/>
  <c r="M63" i="1"/>
  <c r="M43" i="1"/>
  <c r="M95" i="1"/>
  <c r="M99" i="1"/>
  <c r="L99" i="1"/>
  <c r="M96" i="1"/>
  <c r="L82" i="1"/>
  <c r="M20" i="1"/>
  <c r="L127" i="1"/>
  <c r="L19" i="1"/>
  <c r="M127" i="1"/>
  <c r="M60" i="1"/>
  <c r="M40" i="1"/>
  <c r="M19" i="1"/>
  <c r="L2" i="1"/>
  <c r="L92" i="1"/>
  <c r="M129" i="1"/>
  <c r="M125" i="1"/>
  <c r="M21" i="1"/>
  <c r="M17" i="1"/>
  <c r="L96" i="1"/>
  <c r="M77" i="1"/>
  <c r="M73" i="1"/>
  <c r="M69" i="1"/>
  <c r="M65" i="1"/>
  <c r="M61" i="1"/>
  <c r="M57" i="1"/>
  <c r="M53" i="1"/>
  <c r="M49" i="1"/>
  <c r="M45" i="1"/>
  <c r="M41" i="1"/>
  <c r="M37" i="1"/>
  <c r="M33" i="1"/>
  <c r="M29" i="1"/>
  <c r="M25" i="1"/>
  <c r="L97" i="1"/>
  <c r="L93" i="1"/>
  <c r="L89" i="1"/>
  <c r="L11" i="1"/>
  <c r="L7" i="1"/>
  <c r="L3" i="1"/>
  <c r="M78" i="1"/>
  <c r="M74" i="1"/>
  <c r="M70" i="1"/>
  <c r="M66" i="1"/>
  <c r="M62" i="1"/>
  <c r="M58" i="1"/>
  <c r="M54" i="1"/>
  <c r="M50" i="1"/>
  <c r="M46" i="1"/>
  <c r="M42" i="1"/>
  <c r="M38" i="1"/>
  <c r="M34" i="1"/>
  <c r="M30" i="1"/>
  <c r="M26" i="1"/>
  <c r="M130" i="1"/>
  <c r="M126" i="1"/>
  <c r="M112" i="1"/>
  <c r="M108" i="1"/>
  <c r="M104" i="1"/>
  <c r="M22" i="1"/>
  <c r="M18" i="1"/>
  <c r="M132" i="1"/>
  <c r="M128" i="1"/>
  <c r="M124" i="1"/>
  <c r="M114" i="1"/>
  <c r="M110" i="1"/>
  <c r="M106" i="1"/>
  <c r="M86" i="1"/>
  <c r="M82" i="1"/>
  <c r="M10" i="1"/>
  <c r="M6" i="1"/>
  <c r="M2" i="1"/>
  <c r="L129" i="1"/>
  <c r="L121" i="1"/>
  <c r="L21" i="1"/>
  <c r="L17" i="1"/>
  <c r="L132" i="1"/>
  <c r="L128" i="1"/>
  <c r="L124" i="1"/>
  <c r="L120" i="1"/>
  <c r="L77" i="1"/>
  <c r="L73" i="1"/>
  <c r="L69" i="1"/>
  <c r="L65" i="1"/>
  <c r="L61" i="1"/>
  <c r="L57" i="1"/>
  <c r="L53" i="1"/>
  <c r="L49" i="1"/>
  <c r="L45" i="1"/>
  <c r="L41" i="1"/>
  <c r="L37" i="1"/>
  <c r="L33" i="1"/>
  <c r="L29" i="1"/>
  <c r="L25" i="1"/>
  <c r="L20" i="1"/>
  <c r="L16" i="1"/>
  <c r="L125" i="1"/>
  <c r="L113" i="1"/>
  <c r="L109" i="1"/>
  <c r="L105" i="1"/>
  <c r="L85" i="1"/>
  <c r="L81" i="1"/>
  <c r="L76" i="1"/>
  <c r="L72" i="1"/>
  <c r="L68" i="1"/>
  <c r="L64" i="1"/>
  <c r="L60" i="1"/>
  <c r="L56" i="1"/>
  <c r="L52" i="1"/>
  <c r="L48" i="1"/>
  <c r="L44" i="1"/>
  <c r="L40" i="1"/>
  <c r="L36" i="1"/>
  <c r="L32" i="1"/>
  <c r="L28" i="1"/>
  <c r="L6" i="1"/>
  <c r="L5" i="1"/>
  <c r="L10" i="1"/>
  <c r="L13" i="1"/>
  <c r="L9" i="1"/>
</calcChain>
</file>

<file path=xl/sharedStrings.xml><?xml version="1.0" encoding="utf-8"?>
<sst xmlns="http://schemas.openxmlformats.org/spreadsheetml/2006/main" count="276" uniqueCount="157">
  <si>
    <t>id</t>
  </si>
  <si>
    <t>nama</t>
  </si>
  <si>
    <t>satuan</t>
  </si>
  <si>
    <t>harga1</t>
  </si>
  <si>
    <t>harga2</t>
  </si>
  <si>
    <t>harga3</t>
  </si>
  <si>
    <t>Kg</t>
  </si>
  <si>
    <t>Beras ketan</t>
  </si>
  <si>
    <t>Tepung terigu</t>
  </si>
  <si>
    <t>Ketela rambat/ubi jalar</t>
  </si>
  <si>
    <t>Sagu (bukan dari ketela pohon)</t>
  </si>
  <si>
    <t>Talas/keladi</t>
  </si>
  <si>
    <t>Kentang</t>
  </si>
  <si>
    <t>Gaplek</t>
  </si>
  <si>
    <t>Ekor kuning</t>
  </si>
  <si>
    <t>Tenggiri</t>
  </si>
  <si>
    <t>Selar</t>
  </si>
  <si>
    <t>Bandeng</t>
  </si>
  <si>
    <t>Gabus</t>
  </si>
  <si>
    <t>Mujair</t>
  </si>
  <si>
    <t>Lele</t>
  </si>
  <si>
    <t>Kakap</t>
  </si>
  <si>
    <t>Baronang</t>
  </si>
  <si>
    <t>Patin</t>
  </si>
  <si>
    <t>Bawal</t>
  </si>
  <si>
    <t>Gurame</t>
  </si>
  <si>
    <t>Kembung diawetkan/peda</t>
  </si>
  <si>
    <t>Tenggiri diawetkan</t>
  </si>
  <si>
    <t>Tongkol/tuna/cakalang diawetkan</t>
  </si>
  <si>
    <t>Teri diawetkan</t>
  </si>
  <si>
    <t>Selar diawetkan</t>
  </si>
  <si>
    <t>Sepat diawetkan</t>
  </si>
  <si>
    <t>Bandeng diawetkan</t>
  </si>
  <si>
    <t>Gabus diawetkan</t>
  </si>
  <si>
    <t>Daging sapi</t>
  </si>
  <si>
    <t>Daging ayam ras</t>
  </si>
  <si>
    <t>Daging ayam kampung</t>
  </si>
  <si>
    <t>Telur ayam ras</t>
  </si>
  <si>
    <t>Telur ayam kampung</t>
  </si>
  <si>
    <t>Telur itik/telur itik manila</t>
  </si>
  <si>
    <t>Susu cair pabrik</t>
  </si>
  <si>
    <t>Susu kental manis</t>
  </si>
  <si>
    <t>Susu bubuk</t>
  </si>
  <si>
    <t>Susu bubuk bayi</t>
  </si>
  <si>
    <t>Bayam</t>
  </si>
  <si>
    <t>Kangkung</t>
  </si>
  <si>
    <t>Kol/kubis</t>
  </si>
  <si>
    <t>Sawi putih (petsai)</t>
  </si>
  <si>
    <t>Sawi hijau</t>
  </si>
  <si>
    <t>Buncis</t>
  </si>
  <si>
    <t>Kacang panjang</t>
  </si>
  <si>
    <t>Wortel</t>
  </si>
  <si>
    <t>Mentimun</t>
  </si>
  <si>
    <t>Daun ketela pohon/daun singkong</t>
  </si>
  <si>
    <t>Terong</t>
  </si>
  <si>
    <t>Tauge</t>
  </si>
  <si>
    <t>Bahan sayur asam/lodeh (paket)</t>
  </si>
  <si>
    <t>Nangka muda</t>
  </si>
  <si>
    <t>Pepaya muda</t>
  </si>
  <si>
    <t>Jengkol</t>
  </si>
  <si>
    <t>Bawang merah</t>
  </si>
  <si>
    <t>Bawang putih</t>
  </si>
  <si>
    <t>Kacang tanah tanpa kulit</t>
  </si>
  <si>
    <t>Kacang kedelai</t>
  </si>
  <si>
    <t>Tahu</t>
  </si>
  <si>
    <t>Tempe</t>
  </si>
  <si>
    <t>Mangga</t>
  </si>
  <si>
    <t>Apel</t>
  </si>
  <si>
    <t>Rambutan</t>
  </si>
  <si>
    <t>Durian</t>
  </si>
  <si>
    <t>Salak</t>
  </si>
  <si>
    <t>Pisang ambon</t>
  </si>
  <si>
    <t>Pepaya</t>
  </si>
  <si>
    <t>Semangka</t>
  </si>
  <si>
    <t>Minyak kelapa</t>
  </si>
  <si>
    <t>Gula pasir</t>
  </si>
  <si>
    <t>Teh bubuk</t>
  </si>
  <si>
    <t>Kopi (bubuk, biji)</t>
  </si>
  <si>
    <t>Garam</t>
  </si>
  <si>
    <t>Kemiri</t>
  </si>
  <si>
    <t>Ketumbar/jinten</t>
  </si>
  <si>
    <t>Merica/lada</t>
  </si>
  <si>
    <t>Asam</t>
  </si>
  <si>
    <t>Terasi/petis</t>
  </si>
  <si>
    <t>Kecap</t>
  </si>
  <si>
    <t>Penyedap masakan/vetsin</t>
  </si>
  <si>
    <t>Sambal jadi</t>
  </si>
  <si>
    <t>Saus tomat</t>
  </si>
  <si>
    <t>Kerupuk</t>
  </si>
  <si>
    <t>Bubur bayi kemasan</t>
  </si>
  <si>
    <t>Roti tawar</t>
  </si>
  <si>
    <t>Ons</t>
  </si>
  <si>
    <t>Butir</t>
  </si>
  <si>
    <t>Kaleng (397gr)</t>
  </si>
  <si>
    <t>Bungkus</t>
  </si>
  <si>
    <t>Liter</t>
  </si>
  <si>
    <t>Gram</t>
  </si>
  <si>
    <t>100ml</t>
  </si>
  <si>
    <t>Jagung pipilan/beras jagung/jagung titi</t>
  </si>
  <si>
    <t>Ketela pohon/singkong</t>
  </si>
  <si>
    <t>Kembung, lema/tatare, banyar/banyara</t>
  </si>
  <si>
    <t>Udang, lobster</t>
  </si>
  <si>
    <t>Cumi-cumi, sotong, gurita</t>
  </si>
  <si>
    <t>Ketam, kepiting, rajungan</t>
  </si>
  <si>
    <t>Kerang, siput, bekicot, remis</t>
  </si>
  <si>
    <t>Ikan dalam kaleng (sardencis, tuna dalam kaleng, dsb)</t>
  </si>
  <si>
    <t>Udang diawetkan (ebi, rebon)</t>
  </si>
  <si>
    <t>Cumi-cumi, sotong, gurita diawetkan</t>
  </si>
  <si>
    <t>Daging kambing, domba/biri-biri</t>
  </si>
  <si>
    <t>Tetelan, sandung lamur</t>
  </si>
  <si>
    <t>Lainnya (hati, jeroan, iga, kaki, buntut, kepala, dsb)</t>
  </si>
  <si>
    <t>Kotak kecil (250ml)</t>
  </si>
  <si>
    <t>Tomat sayur, tomat ceri</t>
  </si>
  <si>
    <t>Labu, labu siam, labu parang</t>
  </si>
  <si>
    <t>Bahan sayur sop/capcay/ kimlo (paket)</t>
  </si>
  <si>
    <t>Cabe merah</t>
  </si>
  <si>
    <t>Cabe hijau</t>
  </si>
  <si>
    <t>Cabe rawit</t>
  </si>
  <si>
    <t>Jeruk, jeruk bali</t>
  </si>
  <si>
    <t>Duku, langsat</t>
  </si>
  <si>
    <t>Pisang lainnya</t>
  </si>
  <si>
    <t>Minyak goreng (kelapa sawit, bunga matahari)</t>
  </si>
  <si>
    <t>Kelapa (tidak termasuk santan instan)</t>
  </si>
  <si>
    <t>Gula merah, gula air (pohon aren, kelapa, lontar)</t>
  </si>
  <si>
    <t>Teh celup (sachet)</t>
  </si>
  <si>
    <t>2 gram</t>
  </si>
  <si>
    <t>Kopi instan (sachet)</t>
  </si>
  <si>
    <t>20 gram</t>
  </si>
  <si>
    <t>Bumbu maskan jadi/kemasan, bumbu racikan</t>
  </si>
  <si>
    <t>Kotak kecil (150 gr)</t>
  </si>
  <si>
    <t>Potong</t>
  </si>
  <si>
    <t>Roti manis, roti lainnya</t>
  </si>
  <si>
    <t>Kue kering, biskuit, semprong</t>
  </si>
  <si>
    <t>Makanan ringan anak-anak, krupuk/kripik</t>
  </si>
  <si>
    <t>Air teh kemasan, minuman bersoda/mengandung CO2</t>
  </si>
  <si>
    <t>250ml</t>
  </si>
  <si>
    <t>Min</t>
  </si>
  <si>
    <t>Max</t>
  </si>
  <si>
    <t>min</t>
  </si>
  <si>
    <t>max</t>
  </si>
  <si>
    <t>Jagung basah dengan kulit</t>
  </si>
  <si>
    <t>Tongkol</t>
  </si>
  <si>
    <t>Tuna</t>
  </si>
  <si>
    <t>Cakalang, dencis</t>
  </si>
  <si>
    <t>Mas</t>
  </si>
  <si>
    <t>Nila</t>
  </si>
  <si>
    <t>Teri Basah</t>
  </si>
  <si>
    <t>Tomat Buah</t>
  </si>
  <si>
    <t>Alpukat</t>
  </si>
  <si>
    <t>Jambu Biji</t>
  </si>
  <si>
    <t>Jahe</t>
  </si>
  <si>
    <t>Kunyit</t>
  </si>
  <si>
    <t>Bumbu dapur lainnya (pala,  kencur, kapulaga, dsb.)</t>
  </si>
  <si>
    <t>Bawang Bombay</t>
  </si>
  <si>
    <t>Oncom</t>
  </si>
  <si>
    <t>fixed</t>
  </si>
  <si>
    <t>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</si>
</sst>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0" fontId="1" fillId="0" borderId="0" xfId="1"/>
    <xf numFmtId="0" fontId="3" fillId="3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2">
    <cellStyle name="Normal" xfId="0" builtinId="0"/>
    <cellStyle name="Normal 2" xfId="1" xr:uid="{6212CE31-E8D6-4190-8104-31A15E1A73F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2"/>
  <sheetViews>
    <sheetView tabSelected="1" workbookViewId="0">
      <selection activeCell="N2" sqref="N2:N132"/>
    </sheetView>
  </sheetViews>
  <sheetFormatPr defaultColWidth="8.85546875" defaultRowHeight="15" x14ac:dyDescent="0.25"/>
  <cols>
    <col min="2" max="2" width="51.85546875" customWidth="1"/>
    <col min="8" max="9" width="9.140625" style="2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155</v>
      </c>
      <c r="H1" s="1" t="s">
        <v>136</v>
      </c>
      <c r="I1" s="1" t="s">
        <v>137</v>
      </c>
      <c r="J1" t="s">
        <v>138</v>
      </c>
      <c r="K1" t="s">
        <v>139</v>
      </c>
      <c r="L1" t="s">
        <v>136</v>
      </c>
      <c r="M1" t="s">
        <v>137</v>
      </c>
    </row>
    <row r="2" spans="1:14" x14ac:dyDescent="0.25">
      <c r="A2">
        <v>3</v>
      </c>
      <c r="B2" t="s">
        <v>7</v>
      </c>
      <c r="C2" t="s">
        <v>6</v>
      </c>
      <c r="D2">
        <v>12680</v>
      </c>
      <c r="E2">
        <v>13000</v>
      </c>
      <c r="F2">
        <v>15000</v>
      </c>
      <c r="G2">
        <v>2</v>
      </c>
      <c r="H2" s="2">
        <v>20000</v>
      </c>
      <c r="I2" s="2">
        <v>21250</v>
      </c>
      <c r="J2">
        <f>MIN(D2:F2)</f>
        <v>12680</v>
      </c>
      <c r="K2">
        <f>MAX(D2:F2)</f>
        <v>15000</v>
      </c>
      <c r="L2">
        <f>J2-H2</f>
        <v>-7320</v>
      </c>
      <c r="M2">
        <f>I2-K2</f>
        <v>6250</v>
      </c>
      <c r="N2" t="str">
        <f>CONCATENATE("{id:",A2,", nama:'",B2,"', satuan:'",C2,"', harga1:",H2,", harga2:",I2,", harga3:",F2,",fixed:",G2,"},")</f>
        <v>{id:3, nama:'Beras ketan', satuan:'Kg', harga1:20000, harga2:21250, harga3:15000,fixed:2},</v>
      </c>
    </row>
    <row r="3" spans="1:14" x14ac:dyDescent="0.25">
      <c r="A3">
        <v>4</v>
      </c>
      <c r="B3" t="s">
        <v>140</v>
      </c>
      <c r="C3" t="s">
        <v>6</v>
      </c>
      <c r="D3">
        <v>6000</v>
      </c>
      <c r="E3">
        <v>6000</v>
      </c>
      <c r="F3">
        <v>6000</v>
      </c>
      <c r="G3">
        <v>2</v>
      </c>
      <c r="H3" s="2">
        <v>3000</v>
      </c>
      <c r="I3" s="2">
        <v>12000</v>
      </c>
      <c r="J3">
        <f t="shared" ref="J3:J69" si="0">MIN(D3:F3)</f>
        <v>6000</v>
      </c>
      <c r="K3">
        <f t="shared" ref="K3:K69" si="1">MAX(D3:F3)</f>
        <v>6000</v>
      </c>
      <c r="L3">
        <f t="shared" ref="L3:L69" si="2">J3-H3</f>
        <v>3000</v>
      </c>
      <c r="M3">
        <f t="shared" ref="M3:M69" si="3">I3-K3</f>
        <v>6000</v>
      </c>
      <c r="N3" t="str">
        <f t="shared" ref="N3:N66" si="4">CONCATENATE("{id:",A3,", nama:'",B3,"', satuan:'",C3,"', harga1:",H3,", harga2:",I3,", harga3:",F3,",fixed:",G3,"},")</f>
        <v>{id:4, nama:'Jagung basah dengan kulit', satuan:'Kg', harga1:3000, harga2:12000, harga3:6000,fixed:2},</v>
      </c>
    </row>
    <row r="4" spans="1:14" x14ac:dyDescent="0.25">
      <c r="A4">
        <v>5</v>
      </c>
      <c r="B4" t="s">
        <v>98</v>
      </c>
      <c r="C4" t="s">
        <v>6</v>
      </c>
      <c r="D4">
        <v>9000</v>
      </c>
      <c r="E4">
        <v>11000</v>
      </c>
      <c r="F4">
        <v>13000</v>
      </c>
      <c r="G4">
        <v>2</v>
      </c>
      <c r="H4" s="2">
        <v>9000</v>
      </c>
      <c r="I4" s="2">
        <v>13000</v>
      </c>
      <c r="J4">
        <f t="shared" si="0"/>
        <v>9000</v>
      </c>
      <c r="K4">
        <f t="shared" si="1"/>
        <v>13000</v>
      </c>
      <c r="L4">
        <f t="shared" si="2"/>
        <v>0</v>
      </c>
      <c r="M4">
        <f t="shared" si="3"/>
        <v>0</v>
      </c>
      <c r="N4" t="str">
        <f t="shared" si="4"/>
        <v>{id:5, nama:'Jagung pipilan/beras jagung/jagung titi', satuan:'Kg', harga1:9000, harga2:13000, harga3:13000,fixed:2},</v>
      </c>
    </row>
    <row r="5" spans="1:14" x14ac:dyDescent="0.25">
      <c r="A5">
        <v>6</v>
      </c>
      <c r="B5" t="s">
        <v>8</v>
      </c>
      <c r="C5" t="s">
        <v>6</v>
      </c>
      <c r="D5">
        <v>9000</v>
      </c>
      <c r="E5">
        <v>10000</v>
      </c>
      <c r="F5">
        <v>13000</v>
      </c>
      <c r="G5">
        <v>2</v>
      </c>
      <c r="H5" s="2">
        <v>8000</v>
      </c>
      <c r="I5" s="2">
        <v>15000</v>
      </c>
      <c r="J5">
        <f t="shared" si="0"/>
        <v>9000</v>
      </c>
      <c r="K5">
        <f t="shared" si="1"/>
        <v>13000</v>
      </c>
      <c r="L5">
        <f t="shared" si="2"/>
        <v>1000</v>
      </c>
      <c r="M5">
        <f t="shared" si="3"/>
        <v>2000</v>
      </c>
      <c r="N5" t="str">
        <f t="shared" si="4"/>
        <v>{id:6, nama:'Tepung terigu', satuan:'Kg', harga1:8000, harga2:15000, harga3:13000,fixed:2},</v>
      </c>
    </row>
    <row r="6" spans="1:14" x14ac:dyDescent="0.25">
      <c r="A6">
        <v>9</v>
      </c>
      <c r="B6" t="s">
        <v>99</v>
      </c>
      <c r="C6" t="s">
        <v>6</v>
      </c>
      <c r="D6">
        <v>3000</v>
      </c>
      <c r="E6">
        <v>5000</v>
      </c>
      <c r="F6">
        <v>7000</v>
      </c>
      <c r="G6">
        <v>2</v>
      </c>
      <c r="H6" s="2">
        <v>2000</v>
      </c>
      <c r="I6" s="2">
        <v>6000</v>
      </c>
      <c r="J6">
        <f t="shared" si="0"/>
        <v>3000</v>
      </c>
      <c r="K6">
        <f t="shared" si="1"/>
        <v>7000</v>
      </c>
      <c r="L6">
        <f t="shared" si="2"/>
        <v>1000</v>
      </c>
      <c r="M6">
        <f t="shared" si="3"/>
        <v>-1000</v>
      </c>
      <c r="N6" t="str">
        <f t="shared" si="4"/>
        <v>{id:9, nama:'Ketela pohon/singkong', satuan:'Kg', harga1:2000, harga2:6000, harga3:7000,fixed:2},</v>
      </c>
    </row>
    <row r="7" spans="1:14" x14ac:dyDescent="0.25">
      <c r="A7">
        <v>10</v>
      </c>
      <c r="B7" t="s">
        <v>9</v>
      </c>
      <c r="C7" t="s">
        <v>6</v>
      </c>
      <c r="D7">
        <v>3000</v>
      </c>
      <c r="E7">
        <v>5000</v>
      </c>
      <c r="F7">
        <v>7000</v>
      </c>
      <c r="G7">
        <v>2</v>
      </c>
      <c r="H7" s="2">
        <v>4000</v>
      </c>
      <c r="I7" s="2">
        <v>10000</v>
      </c>
      <c r="J7">
        <f t="shared" si="0"/>
        <v>3000</v>
      </c>
      <c r="K7">
        <f t="shared" si="1"/>
        <v>7000</v>
      </c>
      <c r="L7">
        <f t="shared" si="2"/>
        <v>-1000</v>
      </c>
      <c r="M7">
        <f t="shared" si="3"/>
        <v>3000</v>
      </c>
      <c r="N7" t="str">
        <f t="shared" si="4"/>
        <v>{id:10, nama:'Ketela rambat/ubi jalar', satuan:'Kg', harga1:4000, harga2:10000, harga3:7000,fixed:2},</v>
      </c>
    </row>
    <row r="8" spans="1:14" x14ac:dyDescent="0.25">
      <c r="A8">
        <v>11</v>
      </c>
      <c r="B8" t="s">
        <v>10</v>
      </c>
      <c r="C8" t="s">
        <v>6</v>
      </c>
      <c r="D8">
        <v>10000</v>
      </c>
      <c r="E8">
        <v>11000</v>
      </c>
      <c r="F8">
        <v>12000</v>
      </c>
      <c r="G8">
        <v>2</v>
      </c>
      <c r="H8" s="2">
        <v>10000</v>
      </c>
      <c r="I8" s="2">
        <v>12000</v>
      </c>
      <c r="J8">
        <f t="shared" si="0"/>
        <v>10000</v>
      </c>
      <c r="K8">
        <f t="shared" si="1"/>
        <v>12000</v>
      </c>
      <c r="L8">
        <f t="shared" si="2"/>
        <v>0</v>
      </c>
      <c r="M8">
        <f t="shared" si="3"/>
        <v>0</v>
      </c>
      <c r="N8" t="str">
        <f t="shared" si="4"/>
        <v>{id:11, nama:'Sagu (bukan dari ketela pohon)', satuan:'Kg', harga1:10000, harga2:12000, harga3:12000,fixed:2},</v>
      </c>
    </row>
    <row r="9" spans="1:14" x14ac:dyDescent="0.25">
      <c r="A9">
        <v>12</v>
      </c>
      <c r="B9" t="s">
        <v>11</v>
      </c>
      <c r="C9" t="s">
        <v>6</v>
      </c>
      <c r="D9">
        <v>4000</v>
      </c>
      <c r="E9">
        <v>6000</v>
      </c>
      <c r="F9">
        <v>10000</v>
      </c>
      <c r="G9">
        <v>2</v>
      </c>
      <c r="H9" s="2">
        <v>5000</v>
      </c>
      <c r="I9" s="2">
        <v>15000</v>
      </c>
      <c r="J9">
        <f t="shared" si="0"/>
        <v>4000</v>
      </c>
      <c r="K9">
        <f t="shared" si="1"/>
        <v>10000</v>
      </c>
      <c r="L9">
        <f t="shared" si="2"/>
        <v>-1000</v>
      </c>
      <c r="M9">
        <f>I9-K9</f>
        <v>5000</v>
      </c>
      <c r="N9" t="str">
        <f t="shared" si="4"/>
        <v>{id:12, nama:'Talas/keladi', satuan:'Kg', harga1:5000, harga2:15000, harga3:10000,fixed:2},</v>
      </c>
    </row>
    <row r="10" spans="1:14" x14ac:dyDescent="0.25">
      <c r="A10">
        <v>13</v>
      </c>
      <c r="B10" t="s">
        <v>12</v>
      </c>
      <c r="C10" t="s">
        <v>6</v>
      </c>
      <c r="D10">
        <v>22000</v>
      </c>
      <c r="E10">
        <v>22000</v>
      </c>
      <c r="F10">
        <v>25000</v>
      </c>
      <c r="G10">
        <v>2</v>
      </c>
      <c r="H10" s="2">
        <v>21000</v>
      </c>
      <c r="I10" s="2">
        <v>25000</v>
      </c>
      <c r="J10">
        <f t="shared" si="0"/>
        <v>22000</v>
      </c>
      <c r="K10">
        <f t="shared" si="1"/>
        <v>25000</v>
      </c>
      <c r="L10">
        <f t="shared" si="2"/>
        <v>1000</v>
      </c>
      <c r="M10">
        <f t="shared" si="3"/>
        <v>0</v>
      </c>
      <c r="N10" t="str">
        <f t="shared" si="4"/>
        <v>{id:13, nama:'Kentang', satuan:'Kg', harga1:21000, harga2:25000, harga3:25000,fixed:2},</v>
      </c>
    </row>
    <row r="11" spans="1:14" x14ac:dyDescent="0.25">
      <c r="A11">
        <v>14</v>
      </c>
      <c r="B11" t="s">
        <v>13</v>
      </c>
      <c r="C11" t="s">
        <v>6</v>
      </c>
      <c r="D11">
        <v>8000</v>
      </c>
      <c r="E11">
        <v>10000</v>
      </c>
      <c r="F11">
        <v>10000</v>
      </c>
      <c r="G11">
        <v>2</v>
      </c>
      <c r="H11" s="2">
        <v>8000</v>
      </c>
      <c r="I11" s="2">
        <v>10000</v>
      </c>
      <c r="J11">
        <f t="shared" si="0"/>
        <v>8000</v>
      </c>
      <c r="K11">
        <f t="shared" si="1"/>
        <v>10000</v>
      </c>
      <c r="L11">
        <f t="shared" si="2"/>
        <v>0</v>
      </c>
      <c r="M11">
        <f t="shared" si="3"/>
        <v>0</v>
      </c>
      <c r="N11" t="str">
        <f t="shared" si="4"/>
        <v>{id:14, nama:'Gaplek', satuan:'Kg', harga1:8000, harga2:10000, harga3:10000,fixed:2},</v>
      </c>
    </row>
    <row r="12" spans="1:14" x14ac:dyDescent="0.25">
      <c r="A12">
        <v>17</v>
      </c>
      <c r="B12" t="s">
        <v>14</v>
      </c>
      <c r="C12" t="s">
        <v>6</v>
      </c>
      <c r="D12">
        <v>30000</v>
      </c>
      <c r="E12">
        <v>35000</v>
      </c>
      <c r="F12">
        <v>35000</v>
      </c>
      <c r="G12">
        <v>2</v>
      </c>
      <c r="H12" s="2">
        <v>30000</v>
      </c>
      <c r="I12" s="2">
        <v>35000</v>
      </c>
      <c r="J12">
        <f t="shared" si="0"/>
        <v>30000</v>
      </c>
      <c r="K12">
        <f t="shared" si="1"/>
        <v>35000</v>
      </c>
      <c r="L12">
        <f t="shared" si="2"/>
        <v>0</v>
      </c>
      <c r="M12">
        <f t="shared" si="3"/>
        <v>0</v>
      </c>
      <c r="N12" t="str">
        <f t="shared" si="4"/>
        <v>{id:17, nama:'Ekor kuning', satuan:'Kg', harga1:30000, harga2:35000, harga3:35000,fixed:2},</v>
      </c>
    </row>
    <row r="13" spans="1:14" x14ac:dyDescent="0.25">
      <c r="A13">
        <v>18</v>
      </c>
      <c r="B13" t="s">
        <v>141</v>
      </c>
      <c r="C13" t="s">
        <v>6</v>
      </c>
      <c r="D13">
        <v>30000</v>
      </c>
      <c r="E13">
        <v>35000</v>
      </c>
      <c r="F13">
        <v>50000</v>
      </c>
      <c r="G13">
        <v>2</v>
      </c>
      <c r="H13" s="2">
        <v>15000</v>
      </c>
      <c r="I13" s="2">
        <v>30000</v>
      </c>
      <c r="J13">
        <f t="shared" si="0"/>
        <v>30000</v>
      </c>
      <c r="K13">
        <f t="shared" si="1"/>
        <v>50000</v>
      </c>
      <c r="L13">
        <f t="shared" si="2"/>
        <v>15000</v>
      </c>
      <c r="M13">
        <f t="shared" si="3"/>
        <v>-20000</v>
      </c>
      <c r="N13" t="str">
        <f t="shared" si="4"/>
        <v>{id:18, nama:'Tongkol', satuan:'Kg', harga1:15000, harga2:30000, harga3:50000,fixed:2},</v>
      </c>
    </row>
    <row r="14" spans="1:14" x14ac:dyDescent="0.25">
      <c r="A14">
        <v>19</v>
      </c>
      <c r="B14" t="s">
        <v>142</v>
      </c>
      <c r="C14" t="s">
        <v>6</v>
      </c>
      <c r="D14">
        <v>75000</v>
      </c>
      <c r="E14">
        <v>80000</v>
      </c>
      <c r="F14">
        <v>120000</v>
      </c>
      <c r="G14">
        <v>2</v>
      </c>
      <c r="H14" s="2">
        <v>15000</v>
      </c>
      <c r="I14" s="2">
        <v>30000</v>
      </c>
      <c r="J14">
        <f t="shared" si="0"/>
        <v>75000</v>
      </c>
      <c r="K14">
        <f t="shared" si="1"/>
        <v>120000</v>
      </c>
      <c r="N14" t="str">
        <f t="shared" si="4"/>
        <v>{id:19, nama:'Tuna', satuan:'Kg', harga1:15000, harga2:30000, harga3:120000,fixed:2},</v>
      </c>
    </row>
    <row r="15" spans="1:14" x14ac:dyDescent="0.25">
      <c r="A15">
        <v>20</v>
      </c>
      <c r="B15" t="s">
        <v>143</v>
      </c>
      <c r="C15" t="s">
        <v>6</v>
      </c>
      <c r="D15">
        <v>30000</v>
      </c>
      <c r="E15">
        <v>35000</v>
      </c>
      <c r="F15">
        <v>50000</v>
      </c>
      <c r="G15">
        <v>2</v>
      </c>
      <c r="H15" s="2">
        <v>35000</v>
      </c>
      <c r="I15" s="2">
        <v>75000</v>
      </c>
      <c r="N15" t="str">
        <f t="shared" si="4"/>
        <v>{id:20, nama:'Cakalang, dencis', satuan:'Kg', harga1:35000, harga2:75000, harga3:50000,fixed:2},</v>
      </c>
    </row>
    <row r="16" spans="1:14" x14ac:dyDescent="0.25">
      <c r="A16">
        <v>21</v>
      </c>
      <c r="B16" t="s">
        <v>15</v>
      </c>
      <c r="C16" t="s">
        <v>6</v>
      </c>
      <c r="D16">
        <v>60000</v>
      </c>
      <c r="E16">
        <v>70000</v>
      </c>
      <c r="F16">
        <v>80000</v>
      </c>
      <c r="G16">
        <v>2</v>
      </c>
      <c r="H16" s="2">
        <v>60000</v>
      </c>
      <c r="I16" s="2">
        <v>80000</v>
      </c>
      <c r="J16">
        <f t="shared" si="0"/>
        <v>60000</v>
      </c>
      <c r="K16">
        <f t="shared" si="1"/>
        <v>80000</v>
      </c>
      <c r="L16">
        <f t="shared" si="2"/>
        <v>0</v>
      </c>
      <c r="M16">
        <f t="shared" si="3"/>
        <v>0</v>
      </c>
      <c r="N16" t="str">
        <f t="shared" si="4"/>
        <v>{id:21, nama:'Tenggiri', satuan:'Kg', harga1:60000, harga2:80000, harga3:80000,fixed:2},</v>
      </c>
    </row>
    <row r="17" spans="1:14" x14ac:dyDescent="0.25">
      <c r="A17">
        <v>22</v>
      </c>
      <c r="B17" t="s">
        <v>16</v>
      </c>
      <c r="C17" t="s">
        <v>6</v>
      </c>
      <c r="D17">
        <v>25000</v>
      </c>
      <c r="E17">
        <v>30000</v>
      </c>
      <c r="F17">
        <v>40000</v>
      </c>
      <c r="G17">
        <v>2</v>
      </c>
      <c r="H17" s="2">
        <v>25000</v>
      </c>
      <c r="I17" s="2">
        <v>30000</v>
      </c>
      <c r="J17">
        <f t="shared" si="0"/>
        <v>25000</v>
      </c>
      <c r="K17">
        <f t="shared" si="1"/>
        <v>40000</v>
      </c>
      <c r="L17">
        <f t="shared" si="2"/>
        <v>0</v>
      </c>
      <c r="M17">
        <f t="shared" si="3"/>
        <v>-10000</v>
      </c>
      <c r="N17" t="str">
        <f t="shared" si="4"/>
        <v>{id:22, nama:'Selar', satuan:'Kg', harga1:25000, harga2:30000, harga3:40000,fixed:2},</v>
      </c>
    </row>
    <row r="18" spans="1:14" x14ac:dyDescent="0.25">
      <c r="A18">
        <v>23</v>
      </c>
      <c r="B18" t="s">
        <v>100</v>
      </c>
      <c r="C18" t="s">
        <v>6</v>
      </c>
      <c r="D18">
        <v>35000</v>
      </c>
      <c r="E18">
        <v>40000</v>
      </c>
      <c r="F18">
        <v>50000</v>
      </c>
      <c r="G18">
        <v>2</v>
      </c>
      <c r="H18" s="2">
        <v>25000</v>
      </c>
      <c r="I18" s="2">
        <v>30000</v>
      </c>
      <c r="J18">
        <f t="shared" si="0"/>
        <v>35000</v>
      </c>
      <c r="K18">
        <f t="shared" si="1"/>
        <v>50000</v>
      </c>
      <c r="L18">
        <f t="shared" si="2"/>
        <v>10000</v>
      </c>
      <c r="M18">
        <f t="shared" si="3"/>
        <v>-20000</v>
      </c>
      <c r="N18" t="str">
        <f t="shared" si="4"/>
        <v>{id:23, nama:'Kembung, lema/tatare, banyar/banyara', satuan:'Kg', harga1:25000, harga2:30000, harga3:50000,fixed:2},</v>
      </c>
    </row>
    <row r="19" spans="1:14" x14ac:dyDescent="0.25">
      <c r="A19">
        <v>24</v>
      </c>
      <c r="B19" t="s">
        <v>146</v>
      </c>
      <c r="C19" t="s">
        <v>6</v>
      </c>
      <c r="D19">
        <v>34000</v>
      </c>
      <c r="E19">
        <v>35000</v>
      </c>
      <c r="F19">
        <v>35000</v>
      </c>
      <c r="G19">
        <v>2</v>
      </c>
      <c r="H19" s="2">
        <v>34000</v>
      </c>
      <c r="I19" s="2">
        <v>35000</v>
      </c>
      <c r="J19">
        <f t="shared" si="0"/>
        <v>34000</v>
      </c>
      <c r="K19">
        <f t="shared" si="1"/>
        <v>35000</v>
      </c>
      <c r="L19">
        <f t="shared" si="2"/>
        <v>0</v>
      </c>
      <c r="M19">
        <f t="shared" si="3"/>
        <v>0</v>
      </c>
      <c r="N19" t="str">
        <f t="shared" si="4"/>
        <v>{id:24, nama:'Teri Basah', satuan:'Kg', harga1:34000, harga2:35000, harga3:35000,fixed:2},</v>
      </c>
    </row>
    <row r="20" spans="1:14" x14ac:dyDescent="0.25">
      <c r="A20">
        <v>25</v>
      </c>
      <c r="B20" t="s">
        <v>17</v>
      </c>
      <c r="C20" t="s">
        <v>6</v>
      </c>
      <c r="D20">
        <v>26000</v>
      </c>
      <c r="E20">
        <v>30000</v>
      </c>
      <c r="F20">
        <v>40000</v>
      </c>
      <c r="G20">
        <v>2</v>
      </c>
      <c r="H20" s="2">
        <v>20000</v>
      </c>
      <c r="I20" s="2">
        <v>30000</v>
      </c>
      <c r="J20">
        <f t="shared" si="0"/>
        <v>26000</v>
      </c>
      <c r="K20">
        <f t="shared" si="1"/>
        <v>40000</v>
      </c>
      <c r="L20">
        <f t="shared" si="2"/>
        <v>6000</v>
      </c>
      <c r="M20">
        <f t="shared" si="3"/>
        <v>-10000</v>
      </c>
      <c r="N20" t="str">
        <f t="shared" si="4"/>
        <v>{id:25, nama:'Bandeng', satuan:'Kg', harga1:20000, harga2:30000, harga3:40000,fixed:2},</v>
      </c>
    </row>
    <row r="21" spans="1:14" x14ac:dyDescent="0.25">
      <c r="A21">
        <v>26</v>
      </c>
      <c r="B21" t="s">
        <v>18</v>
      </c>
      <c r="C21" t="s">
        <v>6</v>
      </c>
      <c r="D21">
        <v>50000</v>
      </c>
      <c r="E21">
        <v>60000</v>
      </c>
      <c r="F21">
        <v>80000</v>
      </c>
      <c r="G21">
        <v>2</v>
      </c>
      <c r="H21" s="2">
        <v>50000</v>
      </c>
      <c r="I21" s="2">
        <v>80000</v>
      </c>
      <c r="J21">
        <f t="shared" si="0"/>
        <v>50000</v>
      </c>
      <c r="K21">
        <f t="shared" si="1"/>
        <v>80000</v>
      </c>
      <c r="L21">
        <f t="shared" si="2"/>
        <v>0</v>
      </c>
      <c r="M21">
        <f t="shared" si="3"/>
        <v>0</v>
      </c>
      <c r="N21" t="str">
        <f t="shared" si="4"/>
        <v>{id:26, nama:'Gabus', satuan:'Kg', harga1:50000, harga2:80000, harga3:80000,fixed:2},</v>
      </c>
    </row>
    <row r="22" spans="1:14" x14ac:dyDescent="0.25">
      <c r="A22">
        <v>27</v>
      </c>
      <c r="B22" t="s">
        <v>19</v>
      </c>
      <c r="C22" t="s">
        <v>6</v>
      </c>
      <c r="D22">
        <v>35000</v>
      </c>
      <c r="E22">
        <v>40000</v>
      </c>
      <c r="F22">
        <v>45000</v>
      </c>
      <c r="G22">
        <v>2</v>
      </c>
      <c r="H22" s="2">
        <v>25000</v>
      </c>
      <c r="I22" s="2">
        <v>100000</v>
      </c>
      <c r="J22">
        <f t="shared" si="0"/>
        <v>35000</v>
      </c>
      <c r="K22">
        <f t="shared" si="1"/>
        <v>45000</v>
      </c>
      <c r="L22">
        <f t="shared" si="2"/>
        <v>10000</v>
      </c>
      <c r="M22">
        <f t="shared" si="3"/>
        <v>55000</v>
      </c>
      <c r="N22" t="str">
        <f t="shared" si="4"/>
        <v>{id:27, nama:'Mujair', satuan:'Kg', harga1:25000, harga2:100000, harga3:45000,fixed:2},</v>
      </c>
    </row>
    <row r="23" spans="1:14" x14ac:dyDescent="0.25">
      <c r="A23">
        <v>28</v>
      </c>
      <c r="B23" t="s">
        <v>144</v>
      </c>
      <c r="C23" t="s">
        <v>6</v>
      </c>
      <c r="D23">
        <v>35000</v>
      </c>
      <c r="E23">
        <v>40000</v>
      </c>
      <c r="F23">
        <v>50000</v>
      </c>
      <c r="G23">
        <v>2</v>
      </c>
      <c r="H23" s="2">
        <v>35000</v>
      </c>
      <c r="I23" s="2">
        <v>50000</v>
      </c>
      <c r="J23">
        <f t="shared" si="0"/>
        <v>35000</v>
      </c>
      <c r="K23">
        <f t="shared" si="1"/>
        <v>50000</v>
      </c>
      <c r="L23">
        <f t="shared" si="2"/>
        <v>0</v>
      </c>
      <c r="M23">
        <f t="shared" si="3"/>
        <v>0</v>
      </c>
      <c r="N23" t="str">
        <f t="shared" si="4"/>
        <v>{id:28, nama:'Mas', satuan:'Kg', harga1:35000, harga2:50000, harga3:50000,fixed:2},</v>
      </c>
    </row>
    <row r="24" spans="1:14" x14ac:dyDescent="0.25">
      <c r="A24">
        <v>29</v>
      </c>
      <c r="B24" t="s">
        <v>145</v>
      </c>
      <c r="C24" t="s">
        <v>6</v>
      </c>
      <c r="D24">
        <v>35000</v>
      </c>
      <c r="E24">
        <v>40000</v>
      </c>
      <c r="F24">
        <v>50000</v>
      </c>
      <c r="G24">
        <v>2</v>
      </c>
      <c r="H24" s="2">
        <v>35000</v>
      </c>
      <c r="I24" s="2">
        <v>50000</v>
      </c>
      <c r="J24">
        <f t="shared" si="0"/>
        <v>35000</v>
      </c>
      <c r="K24">
        <f t="shared" si="1"/>
        <v>50000</v>
      </c>
      <c r="N24" t="str">
        <f t="shared" si="4"/>
        <v>{id:29, nama:'Nila', satuan:'Kg', harga1:35000, harga2:50000, harga3:50000,fixed:2},</v>
      </c>
    </row>
    <row r="25" spans="1:14" x14ac:dyDescent="0.25">
      <c r="A25">
        <v>30</v>
      </c>
      <c r="B25" t="s">
        <v>20</v>
      </c>
      <c r="C25" t="s">
        <v>6</v>
      </c>
      <c r="D25">
        <v>35000</v>
      </c>
      <c r="E25">
        <v>40000</v>
      </c>
      <c r="F25">
        <v>45000</v>
      </c>
      <c r="G25">
        <v>2</v>
      </c>
      <c r="H25" s="2">
        <v>20000</v>
      </c>
      <c r="I25" s="2">
        <v>30000</v>
      </c>
      <c r="J25">
        <f t="shared" si="0"/>
        <v>35000</v>
      </c>
      <c r="K25">
        <f t="shared" si="1"/>
        <v>45000</v>
      </c>
      <c r="L25">
        <f t="shared" si="2"/>
        <v>15000</v>
      </c>
      <c r="M25">
        <f t="shared" si="3"/>
        <v>-15000</v>
      </c>
      <c r="N25" t="str">
        <f t="shared" si="4"/>
        <v>{id:30, nama:'Lele', satuan:'Kg', harga1:20000, harga2:30000, harga3:45000,fixed:2},</v>
      </c>
    </row>
    <row r="26" spans="1:14" x14ac:dyDescent="0.25">
      <c r="A26">
        <v>31</v>
      </c>
      <c r="B26" t="s">
        <v>21</v>
      </c>
      <c r="C26" t="s">
        <v>6</v>
      </c>
      <c r="D26">
        <v>35000</v>
      </c>
      <c r="E26">
        <v>40000</v>
      </c>
      <c r="F26">
        <v>50000</v>
      </c>
      <c r="G26">
        <v>2</v>
      </c>
      <c r="H26" s="2">
        <v>50000</v>
      </c>
      <c r="I26" s="2">
        <v>80000</v>
      </c>
      <c r="J26">
        <f t="shared" si="0"/>
        <v>35000</v>
      </c>
      <c r="K26">
        <f t="shared" si="1"/>
        <v>50000</v>
      </c>
      <c r="L26">
        <f t="shared" si="2"/>
        <v>-15000</v>
      </c>
      <c r="M26">
        <f t="shared" si="3"/>
        <v>30000</v>
      </c>
      <c r="N26" t="str">
        <f t="shared" si="4"/>
        <v>{id:31, nama:'Kakap', satuan:'Kg', harga1:50000, harga2:80000, harga3:50000,fixed:2},</v>
      </c>
    </row>
    <row r="27" spans="1:14" x14ac:dyDescent="0.25">
      <c r="A27">
        <v>32</v>
      </c>
      <c r="B27" t="s">
        <v>22</v>
      </c>
      <c r="C27" t="s">
        <v>6</v>
      </c>
      <c r="D27">
        <v>25000</v>
      </c>
      <c r="E27">
        <v>30000</v>
      </c>
      <c r="F27">
        <v>35000</v>
      </c>
      <c r="G27">
        <v>2</v>
      </c>
      <c r="H27" s="2">
        <v>22000</v>
      </c>
      <c r="I27" s="2">
        <v>35000</v>
      </c>
      <c r="J27">
        <f t="shared" si="0"/>
        <v>25000</v>
      </c>
      <c r="K27">
        <f t="shared" si="1"/>
        <v>35000</v>
      </c>
      <c r="L27">
        <f t="shared" si="2"/>
        <v>3000</v>
      </c>
      <c r="M27">
        <f t="shared" si="3"/>
        <v>0</v>
      </c>
      <c r="N27" t="str">
        <f t="shared" si="4"/>
        <v>{id:32, nama:'Baronang', satuan:'Kg', harga1:22000, harga2:35000, harga3:35000,fixed:2},</v>
      </c>
    </row>
    <row r="28" spans="1:14" x14ac:dyDescent="0.25">
      <c r="A28">
        <v>33</v>
      </c>
      <c r="B28" t="s">
        <v>23</v>
      </c>
      <c r="C28" t="s">
        <v>6</v>
      </c>
      <c r="D28">
        <v>25000</v>
      </c>
      <c r="E28">
        <v>30000</v>
      </c>
      <c r="F28">
        <v>40000</v>
      </c>
      <c r="G28">
        <v>2</v>
      </c>
      <c r="H28" s="2">
        <v>25000</v>
      </c>
      <c r="I28" s="2">
        <v>35000</v>
      </c>
      <c r="J28">
        <f t="shared" si="0"/>
        <v>25000</v>
      </c>
      <c r="K28">
        <f t="shared" si="1"/>
        <v>40000</v>
      </c>
      <c r="L28">
        <f t="shared" si="2"/>
        <v>0</v>
      </c>
      <c r="M28">
        <f t="shared" si="3"/>
        <v>-5000</v>
      </c>
      <c r="N28" t="str">
        <f t="shared" si="4"/>
        <v>{id:33, nama:'Patin', satuan:'Kg', harga1:25000, harga2:35000, harga3:40000,fixed:2},</v>
      </c>
    </row>
    <row r="29" spans="1:14" x14ac:dyDescent="0.25">
      <c r="A29">
        <v>34</v>
      </c>
      <c r="B29" t="s">
        <v>24</v>
      </c>
      <c r="C29" t="s">
        <v>6</v>
      </c>
      <c r="D29">
        <v>30000</v>
      </c>
      <c r="E29">
        <v>35000</v>
      </c>
      <c r="F29">
        <v>40000</v>
      </c>
      <c r="G29">
        <v>2</v>
      </c>
      <c r="H29" s="2">
        <v>30000</v>
      </c>
      <c r="I29" s="2">
        <v>80000</v>
      </c>
      <c r="J29">
        <f t="shared" si="0"/>
        <v>30000</v>
      </c>
      <c r="K29">
        <f t="shared" si="1"/>
        <v>40000</v>
      </c>
      <c r="L29">
        <f t="shared" si="2"/>
        <v>0</v>
      </c>
      <c r="M29">
        <f t="shared" si="3"/>
        <v>40000</v>
      </c>
      <c r="N29" t="str">
        <f t="shared" si="4"/>
        <v>{id:34, nama:'Bawal', satuan:'Kg', harga1:30000, harga2:80000, harga3:40000,fixed:2},</v>
      </c>
    </row>
    <row r="30" spans="1:14" x14ac:dyDescent="0.25">
      <c r="A30">
        <v>35</v>
      </c>
      <c r="B30" t="s">
        <v>25</v>
      </c>
      <c r="C30" t="s">
        <v>6</v>
      </c>
      <c r="D30">
        <v>45000</v>
      </c>
      <c r="E30">
        <v>50000</v>
      </c>
      <c r="F30">
        <v>60000</v>
      </c>
      <c r="G30">
        <v>2</v>
      </c>
      <c r="H30" s="2">
        <v>60000</v>
      </c>
      <c r="I30" s="2">
        <v>80000</v>
      </c>
      <c r="J30">
        <f t="shared" si="0"/>
        <v>45000</v>
      </c>
      <c r="K30">
        <f t="shared" si="1"/>
        <v>60000</v>
      </c>
      <c r="L30">
        <f t="shared" si="2"/>
        <v>-15000</v>
      </c>
      <c r="M30">
        <f t="shared" si="3"/>
        <v>20000</v>
      </c>
      <c r="N30" t="str">
        <f t="shared" si="4"/>
        <v>{id:35, nama:'Gurame', satuan:'Kg', harga1:60000, harga2:80000, harga3:60000,fixed:2},</v>
      </c>
    </row>
    <row r="31" spans="1:14" x14ac:dyDescent="0.25">
      <c r="A31">
        <v>37</v>
      </c>
      <c r="B31" t="s">
        <v>101</v>
      </c>
      <c r="C31" t="s">
        <v>6</v>
      </c>
      <c r="D31">
        <v>30000</v>
      </c>
      <c r="E31">
        <v>35000</v>
      </c>
      <c r="F31">
        <v>60000</v>
      </c>
      <c r="G31">
        <v>2</v>
      </c>
      <c r="H31" s="2">
        <v>50000</v>
      </c>
      <c r="I31" s="2">
        <v>230000</v>
      </c>
      <c r="J31">
        <f t="shared" si="0"/>
        <v>30000</v>
      </c>
      <c r="K31">
        <f t="shared" si="1"/>
        <v>60000</v>
      </c>
      <c r="L31">
        <f t="shared" si="2"/>
        <v>-20000</v>
      </c>
      <c r="M31">
        <f t="shared" si="3"/>
        <v>170000</v>
      </c>
      <c r="N31" t="str">
        <f t="shared" si="4"/>
        <v>{id:37, nama:'Udang, lobster', satuan:'Kg', harga1:50000, harga2:230000, harga3:60000,fixed:2},</v>
      </c>
    </row>
    <row r="32" spans="1:14" x14ac:dyDescent="0.25">
      <c r="A32">
        <v>38</v>
      </c>
      <c r="B32" t="s">
        <v>102</v>
      </c>
      <c r="C32" t="s">
        <v>6</v>
      </c>
      <c r="D32">
        <v>60000</v>
      </c>
      <c r="E32">
        <v>70000</v>
      </c>
      <c r="F32">
        <v>80000</v>
      </c>
      <c r="G32">
        <v>2</v>
      </c>
      <c r="H32" s="2">
        <v>65000</v>
      </c>
      <c r="I32" s="2">
        <v>70000</v>
      </c>
      <c r="J32">
        <f t="shared" si="0"/>
        <v>60000</v>
      </c>
      <c r="K32">
        <f t="shared" si="1"/>
        <v>80000</v>
      </c>
      <c r="L32">
        <f t="shared" si="2"/>
        <v>-5000</v>
      </c>
      <c r="M32">
        <f t="shared" si="3"/>
        <v>-10000</v>
      </c>
      <c r="N32" t="str">
        <f t="shared" si="4"/>
        <v>{id:38, nama:'Cumi-cumi, sotong, gurita', satuan:'Kg', harga1:65000, harga2:70000, harga3:80000,fixed:2},</v>
      </c>
    </row>
    <row r="33" spans="1:14" x14ac:dyDescent="0.25">
      <c r="A33">
        <v>39</v>
      </c>
      <c r="B33" t="s">
        <v>103</v>
      </c>
      <c r="C33" t="s">
        <v>6</v>
      </c>
      <c r="D33">
        <v>65000</v>
      </c>
      <c r="E33">
        <v>70000</v>
      </c>
      <c r="F33">
        <v>80000</v>
      </c>
      <c r="G33">
        <v>2</v>
      </c>
      <c r="H33" s="2">
        <v>100000</v>
      </c>
      <c r="I33" s="2">
        <v>120000</v>
      </c>
      <c r="J33">
        <f t="shared" si="0"/>
        <v>65000</v>
      </c>
      <c r="K33">
        <f t="shared" si="1"/>
        <v>80000</v>
      </c>
      <c r="L33">
        <f t="shared" si="2"/>
        <v>-35000</v>
      </c>
      <c r="M33">
        <f t="shared" si="3"/>
        <v>40000</v>
      </c>
      <c r="N33" t="str">
        <f t="shared" si="4"/>
        <v>{id:39, nama:'Ketam, kepiting, rajungan', satuan:'Kg', harga1:100000, harga2:120000, harga3:80000,fixed:2},</v>
      </c>
    </row>
    <row r="34" spans="1:14" x14ac:dyDescent="0.25">
      <c r="A34">
        <v>40</v>
      </c>
      <c r="B34" t="s">
        <v>104</v>
      </c>
      <c r="C34" t="s">
        <v>6</v>
      </c>
      <c r="D34">
        <v>60000</v>
      </c>
      <c r="E34">
        <v>75000</v>
      </c>
      <c r="F34">
        <v>80000</v>
      </c>
      <c r="G34">
        <v>2</v>
      </c>
      <c r="H34" s="2">
        <v>30000</v>
      </c>
      <c r="I34" s="2">
        <v>50000</v>
      </c>
      <c r="J34">
        <f t="shared" si="0"/>
        <v>60000</v>
      </c>
      <c r="K34">
        <f t="shared" si="1"/>
        <v>80000</v>
      </c>
      <c r="L34">
        <f t="shared" si="2"/>
        <v>30000</v>
      </c>
      <c r="M34">
        <f t="shared" si="3"/>
        <v>-30000</v>
      </c>
      <c r="N34" t="str">
        <f t="shared" si="4"/>
        <v>{id:40, nama:'Kerang, siput, bekicot, remis', satuan:'Kg', harga1:30000, harga2:50000, harga3:80000,fixed:2},</v>
      </c>
    </row>
    <row r="35" spans="1:14" x14ac:dyDescent="0.25">
      <c r="A35">
        <v>42</v>
      </c>
      <c r="B35" t="s">
        <v>26</v>
      </c>
      <c r="C35" t="s">
        <v>91</v>
      </c>
      <c r="D35">
        <v>5000</v>
      </c>
      <c r="E35">
        <v>6000</v>
      </c>
      <c r="F35">
        <v>8000</v>
      </c>
      <c r="G35">
        <v>2</v>
      </c>
      <c r="H35" s="2">
        <v>5000</v>
      </c>
      <c r="I35" s="2">
        <v>8000</v>
      </c>
      <c r="J35">
        <f t="shared" si="0"/>
        <v>5000</v>
      </c>
      <c r="K35">
        <f t="shared" si="1"/>
        <v>8000</v>
      </c>
      <c r="L35">
        <f t="shared" si="2"/>
        <v>0</v>
      </c>
      <c r="M35">
        <f t="shared" si="3"/>
        <v>0</v>
      </c>
      <c r="N35" t="str">
        <f t="shared" si="4"/>
        <v>{id:42, nama:'Kembung diawetkan/peda', satuan:'Ons', harga1:5000, harga2:8000, harga3:8000,fixed:2},</v>
      </c>
    </row>
    <row r="36" spans="1:14" x14ac:dyDescent="0.25">
      <c r="A36">
        <v>43</v>
      </c>
      <c r="B36" t="s">
        <v>27</v>
      </c>
      <c r="C36" t="s">
        <v>91</v>
      </c>
      <c r="D36">
        <v>10000</v>
      </c>
      <c r="E36">
        <v>13000</v>
      </c>
      <c r="F36">
        <v>15000</v>
      </c>
      <c r="G36">
        <v>2</v>
      </c>
      <c r="H36" s="2">
        <v>10000</v>
      </c>
      <c r="I36" s="2">
        <v>12000</v>
      </c>
      <c r="J36">
        <f t="shared" si="0"/>
        <v>10000</v>
      </c>
      <c r="K36">
        <f t="shared" si="1"/>
        <v>15000</v>
      </c>
      <c r="L36">
        <f t="shared" si="2"/>
        <v>0</v>
      </c>
      <c r="M36">
        <f t="shared" si="3"/>
        <v>-3000</v>
      </c>
      <c r="N36" t="str">
        <f t="shared" si="4"/>
        <v>{id:43, nama:'Tenggiri diawetkan', satuan:'Ons', harga1:10000, harga2:12000, harga3:15000,fixed:2},</v>
      </c>
    </row>
    <row r="37" spans="1:14" x14ac:dyDescent="0.25">
      <c r="A37">
        <v>44</v>
      </c>
      <c r="B37" t="s">
        <v>28</v>
      </c>
      <c r="C37" t="s">
        <v>91</v>
      </c>
      <c r="D37">
        <v>8000</v>
      </c>
      <c r="E37">
        <v>8500</v>
      </c>
      <c r="F37">
        <v>10000</v>
      </c>
      <c r="G37">
        <v>2</v>
      </c>
      <c r="H37" s="2">
        <v>2500</v>
      </c>
      <c r="I37" s="2">
        <v>15000</v>
      </c>
      <c r="J37">
        <f t="shared" si="0"/>
        <v>8000</v>
      </c>
      <c r="K37">
        <f t="shared" si="1"/>
        <v>10000</v>
      </c>
      <c r="L37">
        <f t="shared" si="2"/>
        <v>5500</v>
      </c>
      <c r="M37">
        <f t="shared" si="3"/>
        <v>5000</v>
      </c>
      <c r="N37" t="str">
        <f t="shared" si="4"/>
        <v>{id:44, nama:'Tongkol/tuna/cakalang diawetkan', satuan:'Ons', harga1:2500, harga2:15000, harga3:10000,fixed:2},</v>
      </c>
    </row>
    <row r="38" spans="1:14" x14ac:dyDescent="0.25">
      <c r="A38">
        <v>45</v>
      </c>
      <c r="B38" t="s">
        <v>29</v>
      </c>
      <c r="C38" t="s">
        <v>91</v>
      </c>
      <c r="D38">
        <v>7000</v>
      </c>
      <c r="E38">
        <v>7500</v>
      </c>
      <c r="F38">
        <v>8000</v>
      </c>
      <c r="G38">
        <v>2</v>
      </c>
      <c r="H38" s="2">
        <v>6000</v>
      </c>
      <c r="I38" s="2">
        <v>15000</v>
      </c>
      <c r="J38">
        <f t="shared" si="0"/>
        <v>7000</v>
      </c>
      <c r="K38">
        <f t="shared" si="1"/>
        <v>8000</v>
      </c>
      <c r="L38">
        <f t="shared" si="2"/>
        <v>1000</v>
      </c>
      <c r="M38">
        <f t="shared" si="3"/>
        <v>7000</v>
      </c>
      <c r="N38" t="str">
        <f t="shared" si="4"/>
        <v>{id:45, nama:'Teri diawetkan', satuan:'Ons', harga1:6000, harga2:15000, harga3:8000,fixed:2},</v>
      </c>
    </row>
    <row r="39" spans="1:14" x14ac:dyDescent="0.25">
      <c r="A39">
        <v>46</v>
      </c>
      <c r="B39" t="s">
        <v>30</v>
      </c>
      <c r="C39" t="s">
        <v>91</v>
      </c>
      <c r="D39">
        <v>4000</v>
      </c>
      <c r="E39">
        <v>6000</v>
      </c>
      <c r="F39">
        <v>8000</v>
      </c>
      <c r="G39">
        <v>2</v>
      </c>
      <c r="H39" s="2">
        <v>4000</v>
      </c>
      <c r="I39" s="2">
        <v>10000</v>
      </c>
      <c r="J39">
        <f t="shared" si="0"/>
        <v>4000</v>
      </c>
      <c r="K39">
        <f t="shared" si="1"/>
        <v>8000</v>
      </c>
      <c r="L39">
        <f t="shared" si="2"/>
        <v>0</v>
      </c>
      <c r="M39">
        <f t="shared" si="3"/>
        <v>2000</v>
      </c>
      <c r="N39" t="str">
        <f t="shared" si="4"/>
        <v>{id:46, nama:'Selar diawetkan', satuan:'Ons', harga1:4000, harga2:10000, harga3:8000,fixed:2},</v>
      </c>
    </row>
    <row r="40" spans="1:14" x14ac:dyDescent="0.25">
      <c r="A40">
        <v>47</v>
      </c>
      <c r="B40" t="s">
        <v>31</v>
      </c>
      <c r="C40" t="s">
        <v>91</v>
      </c>
      <c r="D40">
        <v>8000</v>
      </c>
      <c r="E40">
        <v>10000</v>
      </c>
      <c r="F40">
        <v>12000</v>
      </c>
      <c r="G40">
        <v>2</v>
      </c>
      <c r="H40" s="2">
        <v>3000</v>
      </c>
      <c r="I40" s="2">
        <v>16000</v>
      </c>
      <c r="J40">
        <f t="shared" si="0"/>
        <v>8000</v>
      </c>
      <c r="K40">
        <f t="shared" si="1"/>
        <v>12000</v>
      </c>
      <c r="L40">
        <f t="shared" si="2"/>
        <v>5000</v>
      </c>
      <c r="M40">
        <f t="shared" si="3"/>
        <v>4000</v>
      </c>
      <c r="N40" t="str">
        <f t="shared" si="4"/>
        <v>{id:47, nama:'Sepat diawetkan', satuan:'Ons', harga1:3000, harga2:16000, harga3:12000,fixed:2},</v>
      </c>
    </row>
    <row r="41" spans="1:14" x14ac:dyDescent="0.25">
      <c r="A41">
        <v>48</v>
      </c>
      <c r="B41" t="s">
        <v>32</v>
      </c>
      <c r="C41" t="s">
        <v>91</v>
      </c>
      <c r="D41">
        <v>8000</v>
      </c>
      <c r="E41">
        <v>10000</v>
      </c>
      <c r="F41">
        <v>12500</v>
      </c>
      <c r="G41">
        <v>2</v>
      </c>
      <c r="H41" s="2">
        <v>8000</v>
      </c>
      <c r="I41" s="2">
        <v>15000</v>
      </c>
      <c r="J41">
        <f t="shared" si="0"/>
        <v>8000</v>
      </c>
      <c r="K41">
        <f t="shared" si="1"/>
        <v>12500</v>
      </c>
      <c r="L41">
        <f t="shared" si="2"/>
        <v>0</v>
      </c>
      <c r="M41">
        <f t="shared" si="3"/>
        <v>2500</v>
      </c>
      <c r="N41" t="str">
        <f t="shared" si="4"/>
        <v>{id:48, nama:'Bandeng diawetkan', satuan:'Ons', harga1:8000, harga2:15000, harga3:12500,fixed:2},</v>
      </c>
    </row>
    <row r="42" spans="1:14" x14ac:dyDescent="0.25">
      <c r="A42">
        <v>49</v>
      </c>
      <c r="B42" t="s">
        <v>33</v>
      </c>
      <c r="C42" t="s">
        <v>91</v>
      </c>
      <c r="D42">
        <v>7000</v>
      </c>
      <c r="E42">
        <v>8500</v>
      </c>
      <c r="F42">
        <v>13000</v>
      </c>
      <c r="G42">
        <v>2</v>
      </c>
      <c r="H42" s="2">
        <v>100000</v>
      </c>
      <c r="I42" s="2">
        <v>150000</v>
      </c>
      <c r="J42">
        <f t="shared" si="0"/>
        <v>7000</v>
      </c>
      <c r="K42">
        <f t="shared" si="1"/>
        <v>13000</v>
      </c>
      <c r="L42">
        <f t="shared" si="2"/>
        <v>-93000</v>
      </c>
      <c r="M42">
        <f t="shared" si="3"/>
        <v>137000</v>
      </c>
      <c r="N42" t="str">
        <f t="shared" si="4"/>
        <v>{id:49, nama:'Gabus diawetkan', satuan:'Ons', harga1:100000, harga2:150000, harga3:13000,fixed:2},</v>
      </c>
    </row>
    <row r="43" spans="1:14" x14ac:dyDescent="0.25">
      <c r="A43">
        <v>50</v>
      </c>
      <c r="B43" t="s">
        <v>105</v>
      </c>
      <c r="C43" t="s">
        <v>91</v>
      </c>
      <c r="D43">
        <v>5000</v>
      </c>
      <c r="E43">
        <v>5100</v>
      </c>
      <c r="F43">
        <v>5500</v>
      </c>
      <c r="G43">
        <v>2</v>
      </c>
      <c r="H43" s="2">
        <v>4000</v>
      </c>
      <c r="I43" s="2">
        <v>10000</v>
      </c>
      <c r="J43">
        <f t="shared" si="0"/>
        <v>5000</v>
      </c>
      <c r="K43">
        <f t="shared" si="1"/>
        <v>5500</v>
      </c>
      <c r="L43">
        <f t="shared" si="2"/>
        <v>1000</v>
      </c>
      <c r="M43">
        <f t="shared" si="3"/>
        <v>4500</v>
      </c>
      <c r="N43" t="str">
        <f t="shared" si="4"/>
        <v>{id:50, nama:'Ikan dalam kaleng (sardencis, tuna dalam kaleng, dsb)', satuan:'Ons', harga1:4000, harga2:10000, harga3:5500,fixed:2},</v>
      </c>
    </row>
    <row r="44" spans="1:14" x14ac:dyDescent="0.25">
      <c r="A44">
        <v>52</v>
      </c>
      <c r="B44" t="s">
        <v>106</v>
      </c>
      <c r="C44" t="s">
        <v>91</v>
      </c>
      <c r="D44">
        <v>7500</v>
      </c>
      <c r="E44">
        <v>8000</v>
      </c>
      <c r="F44">
        <v>8000</v>
      </c>
      <c r="G44">
        <v>2</v>
      </c>
      <c r="H44" s="2">
        <v>7500</v>
      </c>
      <c r="I44" s="2">
        <v>8000</v>
      </c>
      <c r="J44">
        <f t="shared" si="0"/>
        <v>7500</v>
      </c>
      <c r="K44">
        <f t="shared" si="1"/>
        <v>8000</v>
      </c>
      <c r="L44">
        <f t="shared" si="2"/>
        <v>0</v>
      </c>
      <c r="M44">
        <f t="shared" si="3"/>
        <v>0</v>
      </c>
      <c r="N44" t="str">
        <f t="shared" si="4"/>
        <v>{id:52, nama:'Udang diawetkan (ebi, rebon)', satuan:'Ons', harga1:7500, harga2:8000, harga3:8000,fixed:2},</v>
      </c>
    </row>
    <row r="45" spans="1:14" x14ac:dyDescent="0.25">
      <c r="A45">
        <v>53</v>
      </c>
      <c r="B45" t="s">
        <v>107</v>
      </c>
      <c r="C45" t="s">
        <v>91</v>
      </c>
      <c r="D45">
        <v>8000</v>
      </c>
      <c r="E45">
        <v>10000</v>
      </c>
      <c r="F45">
        <v>10000</v>
      </c>
      <c r="G45">
        <v>2</v>
      </c>
      <c r="H45" s="2">
        <v>8000</v>
      </c>
      <c r="I45" s="2">
        <v>17000</v>
      </c>
      <c r="J45">
        <f t="shared" si="0"/>
        <v>8000</v>
      </c>
      <c r="K45">
        <f t="shared" si="1"/>
        <v>10000</v>
      </c>
      <c r="L45">
        <f t="shared" si="2"/>
        <v>0</v>
      </c>
      <c r="M45">
        <f t="shared" si="3"/>
        <v>7000</v>
      </c>
      <c r="N45" t="str">
        <f t="shared" si="4"/>
        <v>{id:53, nama:'Cumi-cumi, sotong, gurita diawetkan', satuan:'Ons', harga1:8000, harga2:17000, harga3:10000,fixed:2},</v>
      </c>
    </row>
    <row r="46" spans="1:14" x14ac:dyDescent="0.25">
      <c r="A46">
        <v>56</v>
      </c>
      <c r="B46" t="s">
        <v>34</v>
      </c>
      <c r="C46" t="s">
        <v>6</v>
      </c>
      <c r="D46">
        <v>140000</v>
      </c>
      <c r="E46">
        <v>145000</v>
      </c>
      <c r="F46">
        <v>160000</v>
      </c>
      <c r="G46">
        <v>2</v>
      </c>
      <c r="H46" s="2">
        <v>100000</v>
      </c>
      <c r="I46" s="2">
        <v>150000</v>
      </c>
      <c r="J46">
        <f t="shared" si="0"/>
        <v>140000</v>
      </c>
      <c r="K46">
        <f t="shared" si="1"/>
        <v>160000</v>
      </c>
      <c r="L46">
        <f t="shared" si="2"/>
        <v>40000</v>
      </c>
      <c r="M46">
        <f t="shared" si="3"/>
        <v>-10000</v>
      </c>
      <c r="N46" t="str">
        <f t="shared" si="4"/>
        <v>{id:56, nama:'Daging sapi', satuan:'Kg', harga1:100000, harga2:150000, harga3:160000,fixed:2},</v>
      </c>
    </row>
    <row r="47" spans="1:14" x14ac:dyDescent="0.25">
      <c r="A47">
        <v>57</v>
      </c>
      <c r="B47" t="s">
        <v>108</v>
      </c>
      <c r="C47" t="s">
        <v>6</v>
      </c>
      <c r="D47">
        <v>110000</v>
      </c>
      <c r="E47">
        <v>120000</v>
      </c>
      <c r="F47">
        <v>130000</v>
      </c>
      <c r="G47">
        <v>2</v>
      </c>
      <c r="H47" s="2">
        <v>95000</v>
      </c>
      <c r="I47" s="2">
        <v>200000</v>
      </c>
      <c r="J47">
        <f t="shared" si="0"/>
        <v>110000</v>
      </c>
      <c r="K47">
        <f t="shared" si="1"/>
        <v>130000</v>
      </c>
      <c r="L47">
        <f t="shared" si="2"/>
        <v>15000</v>
      </c>
      <c r="M47">
        <f t="shared" si="3"/>
        <v>70000</v>
      </c>
      <c r="N47" t="str">
        <f t="shared" si="4"/>
        <v>{id:57, nama:'Daging kambing, domba/biri-biri', satuan:'Kg', harga1:95000, harga2:200000, harga3:130000,fixed:2},</v>
      </c>
    </row>
    <row r="48" spans="1:14" x14ac:dyDescent="0.25">
      <c r="A48">
        <v>59</v>
      </c>
      <c r="B48" t="s">
        <v>35</v>
      </c>
      <c r="C48" t="s">
        <v>6</v>
      </c>
      <c r="D48">
        <v>25000</v>
      </c>
      <c r="E48">
        <v>30000</v>
      </c>
      <c r="F48">
        <v>40000</v>
      </c>
      <c r="G48">
        <v>2</v>
      </c>
      <c r="H48" s="2">
        <v>35000</v>
      </c>
      <c r="I48" s="2">
        <v>50000</v>
      </c>
      <c r="J48">
        <f t="shared" si="0"/>
        <v>25000</v>
      </c>
      <c r="K48">
        <f t="shared" si="1"/>
        <v>40000</v>
      </c>
      <c r="L48">
        <f t="shared" si="2"/>
        <v>-10000</v>
      </c>
      <c r="M48">
        <f t="shared" si="3"/>
        <v>10000</v>
      </c>
      <c r="N48" t="str">
        <f t="shared" si="4"/>
        <v>{id:59, nama:'Daging ayam ras', satuan:'Kg', harga1:35000, harga2:50000, harga3:40000,fixed:2},</v>
      </c>
    </row>
    <row r="49" spans="1:14" x14ac:dyDescent="0.25">
      <c r="A49">
        <v>60</v>
      </c>
      <c r="B49" t="s">
        <v>36</v>
      </c>
      <c r="C49" t="s">
        <v>6</v>
      </c>
      <c r="D49">
        <v>40000</v>
      </c>
      <c r="E49">
        <v>45000</v>
      </c>
      <c r="F49">
        <v>50000</v>
      </c>
      <c r="G49">
        <v>2</v>
      </c>
      <c r="H49" s="2">
        <v>50000</v>
      </c>
      <c r="I49" s="2">
        <v>70000</v>
      </c>
      <c r="J49">
        <f t="shared" si="0"/>
        <v>40000</v>
      </c>
      <c r="K49">
        <f t="shared" si="1"/>
        <v>50000</v>
      </c>
      <c r="L49">
        <f t="shared" si="2"/>
        <v>-10000</v>
      </c>
      <c r="M49">
        <f t="shared" si="3"/>
        <v>20000</v>
      </c>
      <c r="N49" t="str">
        <f t="shared" si="4"/>
        <v>{id:60, nama:'Daging ayam kampung', satuan:'Kg', harga1:50000, harga2:70000, harga3:50000,fixed:2},</v>
      </c>
    </row>
    <row r="50" spans="1:14" x14ac:dyDescent="0.25">
      <c r="A50">
        <v>63</v>
      </c>
      <c r="B50" t="s">
        <v>109</v>
      </c>
      <c r="C50" t="s">
        <v>6</v>
      </c>
      <c r="D50">
        <v>45000</v>
      </c>
      <c r="E50">
        <v>45000</v>
      </c>
      <c r="F50">
        <v>50000</v>
      </c>
      <c r="G50">
        <v>2</v>
      </c>
      <c r="H50" s="2">
        <v>30000</v>
      </c>
      <c r="I50" s="2">
        <v>110000</v>
      </c>
      <c r="J50">
        <f t="shared" si="0"/>
        <v>45000</v>
      </c>
      <c r="K50">
        <f t="shared" si="1"/>
        <v>50000</v>
      </c>
      <c r="L50">
        <f t="shared" si="2"/>
        <v>15000</v>
      </c>
      <c r="M50">
        <f t="shared" si="3"/>
        <v>60000</v>
      </c>
      <c r="N50" t="str">
        <f t="shared" si="4"/>
        <v>{id:63, nama:'Tetelan, sandung lamur', satuan:'Kg', harga1:30000, harga2:110000, harga3:50000,fixed:2},</v>
      </c>
    </row>
    <row r="51" spans="1:14" x14ac:dyDescent="0.25">
      <c r="A51">
        <v>64</v>
      </c>
      <c r="B51" t="s">
        <v>110</v>
      </c>
      <c r="C51" t="s">
        <v>6</v>
      </c>
      <c r="D51">
        <v>40000</v>
      </c>
      <c r="E51">
        <v>45000</v>
      </c>
      <c r="F51">
        <v>50000</v>
      </c>
      <c r="G51">
        <v>2</v>
      </c>
      <c r="H51" s="2">
        <v>10000</v>
      </c>
      <c r="I51" s="2">
        <v>110000</v>
      </c>
      <c r="J51">
        <f t="shared" si="0"/>
        <v>40000</v>
      </c>
      <c r="K51">
        <f t="shared" si="1"/>
        <v>50000</v>
      </c>
      <c r="L51">
        <f t="shared" si="2"/>
        <v>30000</v>
      </c>
      <c r="M51">
        <f t="shared" si="3"/>
        <v>60000</v>
      </c>
      <c r="N51" t="str">
        <f t="shared" si="4"/>
        <v>{id:64, nama:'Lainnya (hati, jeroan, iga, kaki, buntut, kepala, dsb)', satuan:'Kg', harga1:10000, harga2:110000, harga3:50000,fixed:2},</v>
      </c>
    </row>
    <row r="52" spans="1:14" x14ac:dyDescent="0.25">
      <c r="A52">
        <v>66</v>
      </c>
      <c r="B52" t="s">
        <v>37</v>
      </c>
      <c r="C52" t="s">
        <v>92</v>
      </c>
      <c r="D52">
        <v>1500</v>
      </c>
      <c r="E52">
        <v>1750</v>
      </c>
      <c r="F52">
        <v>2200</v>
      </c>
      <c r="G52">
        <v>0</v>
      </c>
      <c r="H52" s="2">
        <v>2000</v>
      </c>
      <c r="I52" s="2">
        <v>2500</v>
      </c>
      <c r="J52">
        <f t="shared" si="0"/>
        <v>1500</v>
      </c>
      <c r="K52">
        <f t="shared" si="1"/>
        <v>2200</v>
      </c>
      <c r="L52">
        <f t="shared" si="2"/>
        <v>-500</v>
      </c>
      <c r="M52">
        <f t="shared" si="3"/>
        <v>300</v>
      </c>
      <c r="N52" t="str">
        <f t="shared" si="4"/>
        <v>{id:66, nama:'Telur ayam ras', satuan:'Butir', harga1:2000, harga2:2500, harga3:2200,fixed:0},</v>
      </c>
    </row>
    <row r="53" spans="1:14" x14ac:dyDescent="0.25">
      <c r="A53">
        <v>67</v>
      </c>
      <c r="B53" t="s">
        <v>38</v>
      </c>
      <c r="C53" t="s">
        <v>92</v>
      </c>
      <c r="D53">
        <v>1500</v>
      </c>
      <c r="E53">
        <v>2000</v>
      </c>
      <c r="F53">
        <v>3000</v>
      </c>
      <c r="G53">
        <v>0</v>
      </c>
      <c r="H53" s="2">
        <v>2000</v>
      </c>
      <c r="I53" s="2">
        <v>3000</v>
      </c>
      <c r="J53">
        <f t="shared" si="0"/>
        <v>1500</v>
      </c>
      <c r="K53">
        <f t="shared" si="1"/>
        <v>3000</v>
      </c>
      <c r="L53">
        <f t="shared" si="2"/>
        <v>-500</v>
      </c>
      <c r="M53">
        <f t="shared" si="3"/>
        <v>0</v>
      </c>
      <c r="N53" t="str">
        <f t="shared" si="4"/>
        <v>{id:67, nama:'Telur ayam kampung', satuan:'Butir', harga1:2000, harga2:3000, harga3:3000,fixed:0},</v>
      </c>
    </row>
    <row r="54" spans="1:14" x14ac:dyDescent="0.25">
      <c r="A54">
        <v>68</v>
      </c>
      <c r="B54" t="s">
        <v>39</v>
      </c>
      <c r="C54" t="s">
        <v>92</v>
      </c>
      <c r="D54">
        <v>2300</v>
      </c>
      <c r="E54">
        <v>2500</v>
      </c>
      <c r="F54">
        <v>3000</v>
      </c>
      <c r="G54">
        <v>0</v>
      </c>
      <c r="H54" s="2">
        <v>2500</v>
      </c>
      <c r="I54" s="2">
        <v>3000</v>
      </c>
      <c r="J54">
        <f t="shared" si="0"/>
        <v>2300</v>
      </c>
      <c r="K54">
        <f t="shared" si="1"/>
        <v>3000</v>
      </c>
      <c r="L54">
        <f t="shared" si="2"/>
        <v>-200</v>
      </c>
      <c r="M54">
        <f t="shared" si="3"/>
        <v>0</v>
      </c>
      <c r="N54" t="str">
        <f t="shared" si="4"/>
        <v>{id:68, nama:'Telur itik/telur itik manila', satuan:'Butir', harga1:2500, harga2:3000, harga3:3000,fixed:0},</v>
      </c>
    </row>
    <row r="55" spans="1:14" x14ac:dyDescent="0.25">
      <c r="A55">
        <v>70</v>
      </c>
      <c r="B55" t="s">
        <v>40</v>
      </c>
      <c r="C55" t="s">
        <v>111</v>
      </c>
      <c r="D55">
        <v>3000</v>
      </c>
      <c r="E55">
        <v>4000</v>
      </c>
      <c r="F55">
        <v>5000</v>
      </c>
      <c r="G55">
        <v>2</v>
      </c>
      <c r="H55" s="2">
        <v>2000</v>
      </c>
      <c r="I55" s="2">
        <v>6000</v>
      </c>
      <c r="J55">
        <f t="shared" si="0"/>
        <v>3000</v>
      </c>
      <c r="K55">
        <f t="shared" si="1"/>
        <v>5000</v>
      </c>
      <c r="L55">
        <f t="shared" si="2"/>
        <v>1000</v>
      </c>
      <c r="M55">
        <f t="shared" si="3"/>
        <v>1000</v>
      </c>
      <c r="N55" t="str">
        <f t="shared" si="4"/>
        <v>{id:70, nama:'Susu cair pabrik', satuan:'Kotak kecil (250ml)', harga1:2000, harga2:6000, harga3:5000,fixed:2},</v>
      </c>
    </row>
    <row r="56" spans="1:14" x14ac:dyDescent="0.25">
      <c r="A56">
        <v>71</v>
      </c>
      <c r="B56" t="s">
        <v>41</v>
      </c>
      <c r="C56" t="s">
        <v>93</v>
      </c>
      <c r="D56">
        <v>10000</v>
      </c>
      <c r="E56">
        <v>13000</v>
      </c>
      <c r="F56">
        <v>18000</v>
      </c>
      <c r="G56">
        <v>2</v>
      </c>
      <c r="H56" s="2">
        <v>10000</v>
      </c>
      <c r="I56" s="2">
        <v>20000</v>
      </c>
      <c r="J56">
        <f t="shared" si="0"/>
        <v>10000</v>
      </c>
      <c r="K56">
        <f t="shared" si="1"/>
        <v>18000</v>
      </c>
      <c r="L56">
        <f t="shared" si="2"/>
        <v>0</v>
      </c>
      <c r="M56">
        <f t="shared" si="3"/>
        <v>2000</v>
      </c>
      <c r="N56" t="str">
        <f t="shared" si="4"/>
        <v>{id:71, nama:'Susu kental manis', satuan:'Kaleng (397gr)', harga1:10000, harga2:20000, harga3:18000,fixed:2},</v>
      </c>
    </row>
    <row r="57" spans="1:14" x14ac:dyDescent="0.25">
      <c r="A57">
        <v>72</v>
      </c>
      <c r="B57" t="s">
        <v>42</v>
      </c>
      <c r="C57" t="s">
        <v>6</v>
      </c>
      <c r="D57">
        <v>103000</v>
      </c>
      <c r="E57">
        <v>110000</v>
      </c>
      <c r="F57">
        <v>125000</v>
      </c>
      <c r="G57">
        <v>2</v>
      </c>
      <c r="H57" s="2">
        <v>103000</v>
      </c>
      <c r="I57" s="2">
        <v>250000</v>
      </c>
      <c r="J57">
        <f t="shared" si="0"/>
        <v>103000</v>
      </c>
      <c r="K57">
        <f t="shared" si="1"/>
        <v>125000</v>
      </c>
      <c r="L57">
        <f t="shared" si="2"/>
        <v>0</v>
      </c>
      <c r="M57">
        <f t="shared" si="3"/>
        <v>125000</v>
      </c>
      <c r="N57" t="str">
        <f t="shared" si="4"/>
        <v>{id:72, nama:'Susu bubuk', satuan:'Kg', harga1:103000, harga2:250000, harga3:125000,fixed:2},</v>
      </c>
    </row>
    <row r="58" spans="1:14" x14ac:dyDescent="0.25">
      <c r="A58">
        <v>73</v>
      </c>
      <c r="B58" t="s">
        <v>43</v>
      </c>
      <c r="C58" t="s">
        <v>6</v>
      </c>
      <c r="D58">
        <v>110000</v>
      </c>
      <c r="E58">
        <v>130000</v>
      </c>
      <c r="F58">
        <v>200000</v>
      </c>
      <c r="G58">
        <v>2</v>
      </c>
      <c r="H58" s="2">
        <v>80000</v>
      </c>
      <c r="I58" s="2">
        <v>755000</v>
      </c>
      <c r="J58">
        <f t="shared" si="0"/>
        <v>110000</v>
      </c>
      <c r="K58">
        <f t="shared" si="1"/>
        <v>200000</v>
      </c>
      <c r="L58">
        <f t="shared" si="2"/>
        <v>30000</v>
      </c>
      <c r="M58">
        <f t="shared" si="3"/>
        <v>555000</v>
      </c>
      <c r="N58" t="str">
        <f t="shared" si="4"/>
        <v>{id:73, nama:'Susu bubuk bayi', satuan:'Kg', harga1:80000, harga2:755000, harga3:200000,fixed:2},</v>
      </c>
    </row>
    <row r="59" spans="1:14" x14ac:dyDescent="0.25">
      <c r="A59">
        <v>76</v>
      </c>
      <c r="B59" t="s">
        <v>44</v>
      </c>
      <c r="C59" t="s">
        <v>6</v>
      </c>
      <c r="D59">
        <v>15000</v>
      </c>
      <c r="E59">
        <v>17000</v>
      </c>
      <c r="F59">
        <v>20000</v>
      </c>
      <c r="G59">
        <v>2</v>
      </c>
      <c r="H59" s="2">
        <v>15000</v>
      </c>
      <c r="I59" s="2">
        <v>20000</v>
      </c>
      <c r="J59">
        <f t="shared" si="0"/>
        <v>15000</v>
      </c>
      <c r="K59">
        <f t="shared" si="1"/>
        <v>20000</v>
      </c>
      <c r="L59">
        <f t="shared" si="2"/>
        <v>0</v>
      </c>
      <c r="M59">
        <f t="shared" si="3"/>
        <v>0</v>
      </c>
      <c r="N59" t="str">
        <f t="shared" si="4"/>
        <v>{id:76, nama:'Bayam', satuan:'Kg', harga1:15000, harga2:20000, harga3:20000,fixed:2},</v>
      </c>
    </row>
    <row r="60" spans="1:14" x14ac:dyDescent="0.25">
      <c r="A60">
        <v>77</v>
      </c>
      <c r="B60" t="s">
        <v>45</v>
      </c>
      <c r="C60" t="s">
        <v>6</v>
      </c>
      <c r="D60">
        <v>3000</v>
      </c>
      <c r="E60">
        <v>5000</v>
      </c>
      <c r="F60">
        <v>7500</v>
      </c>
      <c r="G60">
        <v>2</v>
      </c>
      <c r="H60" s="2">
        <v>10000</v>
      </c>
      <c r="I60" s="2">
        <v>17000</v>
      </c>
      <c r="J60">
        <f t="shared" si="0"/>
        <v>3000</v>
      </c>
      <c r="K60">
        <f t="shared" si="1"/>
        <v>7500</v>
      </c>
      <c r="L60">
        <f t="shared" si="2"/>
        <v>-7000</v>
      </c>
      <c r="M60">
        <f t="shared" si="3"/>
        <v>9500</v>
      </c>
      <c r="N60" t="str">
        <f t="shared" si="4"/>
        <v>{id:77, nama:'Kangkung', satuan:'Kg', harga1:10000, harga2:17000, harga3:7500,fixed:2},</v>
      </c>
    </row>
    <row r="61" spans="1:14" x14ac:dyDescent="0.25">
      <c r="A61">
        <v>78</v>
      </c>
      <c r="B61" t="s">
        <v>46</v>
      </c>
      <c r="C61" t="s">
        <v>6</v>
      </c>
      <c r="D61">
        <v>10000</v>
      </c>
      <c r="E61">
        <v>12000</v>
      </c>
      <c r="F61">
        <v>15000</v>
      </c>
      <c r="G61">
        <v>2</v>
      </c>
      <c r="H61" s="2">
        <v>10000</v>
      </c>
      <c r="I61" s="2">
        <v>12000</v>
      </c>
      <c r="J61">
        <f t="shared" si="0"/>
        <v>10000</v>
      </c>
      <c r="K61">
        <f t="shared" si="1"/>
        <v>15000</v>
      </c>
      <c r="L61">
        <f t="shared" si="2"/>
        <v>0</v>
      </c>
      <c r="M61">
        <f t="shared" si="3"/>
        <v>-3000</v>
      </c>
      <c r="N61" t="str">
        <f t="shared" si="4"/>
        <v>{id:78, nama:'Kol/kubis', satuan:'Kg', harga1:10000, harga2:12000, harga3:15000,fixed:2},</v>
      </c>
    </row>
    <row r="62" spans="1:14" x14ac:dyDescent="0.25">
      <c r="A62">
        <v>79</v>
      </c>
      <c r="B62" t="s">
        <v>47</v>
      </c>
      <c r="C62" t="s">
        <v>6</v>
      </c>
      <c r="D62">
        <v>18000</v>
      </c>
      <c r="E62">
        <v>19000</v>
      </c>
      <c r="F62">
        <v>20000</v>
      </c>
      <c r="G62">
        <v>2</v>
      </c>
      <c r="H62" s="2">
        <v>15000</v>
      </c>
      <c r="I62" s="2">
        <v>25000</v>
      </c>
      <c r="J62">
        <f t="shared" si="0"/>
        <v>18000</v>
      </c>
      <c r="K62">
        <f t="shared" si="1"/>
        <v>20000</v>
      </c>
      <c r="L62">
        <f t="shared" si="2"/>
        <v>3000</v>
      </c>
      <c r="M62">
        <f t="shared" si="3"/>
        <v>5000</v>
      </c>
      <c r="N62" t="str">
        <f t="shared" si="4"/>
        <v>{id:79, nama:'Sawi putih (petsai)', satuan:'Kg', harga1:15000, harga2:25000, harga3:20000,fixed:2},</v>
      </c>
    </row>
    <row r="63" spans="1:14" x14ac:dyDescent="0.25">
      <c r="A63">
        <v>80</v>
      </c>
      <c r="B63" t="s">
        <v>48</v>
      </c>
      <c r="C63" t="s">
        <v>6</v>
      </c>
      <c r="D63">
        <v>10000</v>
      </c>
      <c r="E63">
        <v>12000</v>
      </c>
      <c r="F63">
        <v>17500</v>
      </c>
      <c r="G63">
        <v>2</v>
      </c>
      <c r="H63" s="2">
        <v>15000</v>
      </c>
      <c r="I63" s="2">
        <v>20000</v>
      </c>
      <c r="J63">
        <f t="shared" si="0"/>
        <v>10000</v>
      </c>
      <c r="K63">
        <f t="shared" si="1"/>
        <v>17500</v>
      </c>
      <c r="L63">
        <f t="shared" si="2"/>
        <v>-5000</v>
      </c>
      <c r="M63">
        <f t="shared" si="3"/>
        <v>2500</v>
      </c>
      <c r="N63" t="str">
        <f t="shared" si="4"/>
        <v>{id:80, nama:'Sawi hijau', satuan:'Kg', harga1:15000, harga2:20000, harga3:17500,fixed:2},</v>
      </c>
    </row>
    <row r="64" spans="1:14" x14ac:dyDescent="0.25">
      <c r="A64">
        <v>81</v>
      </c>
      <c r="B64" t="s">
        <v>49</v>
      </c>
      <c r="C64" t="s">
        <v>6</v>
      </c>
      <c r="D64">
        <v>5000</v>
      </c>
      <c r="E64">
        <v>10000</v>
      </c>
      <c r="F64">
        <v>15000</v>
      </c>
      <c r="G64">
        <v>2</v>
      </c>
      <c r="H64" s="2">
        <v>12000</v>
      </c>
      <c r="I64" s="2">
        <v>16000</v>
      </c>
      <c r="J64">
        <f t="shared" si="0"/>
        <v>5000</v>
      </c>
      <c r="K64">
        <f t="shared" si="1"/>
        <v>15000</v>
      </c>
      <c r="L64">
        <f t="shared" si="2"/>
        <v>-7000</v>
      </c>
      <c r="M64">
        <f t="shared" si="3"/>
        <v>1000</v>
      </c>
      <c r="N64" t="str">
        <f t="shared" si="4"/>
        <v>{id:81, nama:'Buncis', satuan:'Kg', harga1:12000, harga2:16000, harga3:15000,fixed:2},</v>
      </c>
    </row>
    <row r="65" spans="1:14" x14ac:dyDescent="0.25">
      <c r="A65">
        <v>82</v>
      </c>
      <c r="B65" t="s">
        <v>50</v>
      </c>
      <c r="C65" t="s">
        <v>6</v>
      </c>
      <c r="D65">
        <v>4000</v>
      </c>
      <c r="E65">
        <v>5000</v>
      </c>
      <c r="F65">
        <v>10000</v>
      </c>
      <c r="G65">
        <v>2</v>
      </c>
      <c r="H65" s="2">
        <v>5000</v>
      </c>
      <c r="I65" s="2">
        <v>12000</v>
      </c>
      <c r="J65">
        <f t="shared" si="0"/>
        <v>4000</v>
      </c>
      <c r="K65">
        <f t="shared" si="1"/>
        <v>10000</v>
      </c>
      <c r="L65">
        <f t="shared" si="2"/>
        <v>-1000</v>
      </c>
      <c r="M65">
        <f t="shared" si="3"/>
        <v>2000</v>
      </c>
      <c r="N65" t="str">
        <f t="shared" si="4"/>
        <v>{id:82, nama:'Kacang panjang', satuan:'Kg', harga1:5000, harga2:12000, harga3:10000,fixed:2},</v>
      </c>
    </row>
    <row r="66" spans="1:14" x14ac:dyDescent="0.25">
      <c r="A66">
        <v>83</v>
      </c>
      <c r="B66" t="s">
        <v>112</v>
      </c>
      <c r="C66" t="s">
        <v>6</v>
      </c>
      <c r="D66">
        <v>17500</v>
      </c>
      <c r="E66">
        <v>20000</v>
      </c>
      <c r="F66">
        <v>27500</v>
      </c>
      <c r="G66">
        <v>2</v>
      </c>
      <c r="H66" s="2">
        <v>5000</v>
      </c>
      <c r="I66" s="2">
        <v>15000</v>
      </c>
      <c r="J66">
        <f t="shared" si="0"/>
        <v>17500</v>
      </c>
      <c r="K66">
        <f t="shared" si="1"/>
        <v>27500</v>
      </c>
      <c r="L66">
        <f t="shared" si="2"/>
        <v>12500</v>
      </c>
      <c r="M66">
        <f t="shared" si="3"/>
        <v>-12500</v>
      </c>
      <c r="N66" t="str">
        <f t="shared" si="4"/>
        <v>{id:83, nama:'Tomat sayur, tomat ceri', satuan:'Kg', harga1:5000, harga2:15000, harga3:27500,fixed:2},</v>
      </c>
    </row>
    <row r="67" spans="1:14" x14ac:dyDescent="0.25">
      <c r="A67">
        <v>84</v>
      </c>
      <c r="B67" t="s">
        <v>51</v>
      </c>
      <c r="C67" t="s">
        <v>6</v>
      </c>
      <c r="D67">
        <v>15000</v>
      </c>
      <c r="E67">
        <v>18000</v>
      </c>
      <c r="F67">
        <v>25000</v>
      </c>
      <c r="G67">
        <v>2</v>
      </c>
      <c r="H67" s="2">
        <v>20000</v>
      </c>
      <c r="I67" s="2">
        <v>30000</v>
      </c>
      <c r="J67">
        <f t="shared" si="0"/>
        <v>15000</v>
      </c>
      <c r="K67">
        <f t="shared" si="1"/>
        <v>25000</v>
      </c>
      <c r="L67">
        <f t="shared" si="2"/>
        <v>-5000</v>
      </c>
      <c r="M67">
        <f t="shared" si="3"/>
        <v>5000</v>
      </c>
      <c r="N67" t="str">
        <f t="shared" ref="N67:N130" si="5">CONCATENATE("{id:",A67,", nama:'",B67,"', satuan:'",C67,"', harga1:",H67,", harga2:",I67,", harga3:",F67,",fixed:",G67,"},")</f>
        <v>{id:84, nama:'Wortel', satuan:'Kg', harga1:20000, harga2:30000, harga3:25000,fixed:2},</v>
      </c>
    </row>
    <row r="68" spans="1:14" x14ac:dyDescent="0.25">
      <c r="A68">
        <v>85</v>
      </c>
      <c r="B68" t="s">
        <v>52</v>
      </c>
      <c r="C68" t="s">
        <v>6</v>
      </c>
      <c r="D68">
        <v>2000</v>
      </c>
      <c r="E68">
        <v>3000</v>
      </c>
      <c r="F68">
        <v>6000</v>
      </c>
      <c r="G68">
        <v>2</v>
      </c>
      <c r="H68" s="2">
        <v>6000</v>
      </c>
      <c r="I68" s="2">
        <v>15000</v>
      </c>
      <c r="J68">
        <f t="shared" si="0"/>
        <v>2000</v>
      </c>
      <c r="K68">
        <f t="shared" si="1"/>
        <v>6000</v>
      </c>
      <c r="L68">
        <f t="shared" si="2"/>
        <v>-4000</v>
      </c>
      <c r="M68">
        <f t="shared" si="3"/>
        <v>9000</v>
      </c>
      <c r="N68" t="str">
        <f t="shared" si="5"/>
        <v>{id:85, nama:'Mentimun', satuan:'Kg', harga1:6000, harga2:15000, harga3:6000,fixed:2},</v>
      </c>
    </row>
    <row r="69" spans="1:14" x14ac:dyDescent="0.25">
      <c r="A69">
        <v>86</v>
      </c>
      <c r="B69" t="s">
        <v>53</v>
      </c>
      <c r="C69" t="s">
        <v>6</v>
      </c>
      <c r="D69">
        <v>2000</v>
      </c>
      <c r="E69">
        <v>5000</v>
      </c>
      <c r="F69">
        <v>7500</v>
      </c>
      <c r="G69">
        <v>2</v>
      </c>
      <c r="H69" s="2">
        <v>3000</v>
      </c>
      <c r="I69" s="2">
        <v>12000</v>
      </c>
      <c r="J69">
        <f t="shared" si="0"/>
        <v>2000</v>
      </c>
      <c r="K69">
        <f t="shared" si="1"/>
        <v>7500</v>
      </c>
      <c r="L69">
        <f t="shared" si="2"/>
        <v>-1000</v>
      </c>
      <c r="M69">
        <f t="shared" si="3"/>
        <v>4500</v>
      </c>
      <c r="N69" t="str">
        <f t="shared" si="5"/>
        <v>{id:86, nama:'Daun ketela pohon/daun singkong', satuan:'Kg', harga1:3000, harga2:12000, harga3:7500,fixed:2},</v>
      </c>
    </row>
    <row r="70" spans="1:14" x14ac:dyDescent="0.25">
      <c r="A70">
        <v>87</v>
      </c>
      <c r="B70" t="s">
        <v>54</v>
      </c>
      <c r="C70" t="s">
        <v>6</v>
      </c>
      <c r="D70">
        <v>6000</v>
      </c>
      <c r="E70">
        <v>8000</v>
      </c>
      <c r="F70">
        <v>12000</v>
      </c>
      <c r="G70">
        <v>2</v>
      </c>
      <c r="H70" s="2">
        <v>10000</v>
      </c>
      <c r="I70" s="2">
        <v>17000</v>
      </c>
      <c r="J70">
        <f t="shared" ref="J70:J132" si="6">MIN(D70:F70)</f>
        <v>6000</v>
      </c>
      <c r="K70">
        <f t="shared" ref="K70:K132" si="7">MAX(D70:F70)</f>
        <v>12000</v>
      </c>
      <c r="L70">
        <f t="shared" ref="L70:L132" si="8">J70-H70</f>
        <v>-4000</v>
      </c>
      <c r="M70">
        <f t="shared" ref="M70:M132" si="9">I70-K70</f>
        <v>5000</v>
      </c>
      <c r="N70" t="str">
        <f t="shared" si="5"/>
        <v>{id:87, nama:'Terong', satuan:'Kg', harga1:10000, harga2:17000, harga3:12000,fixed:2},</v>
      </c>
    </row>
    <row r="71" spans="1:14" x14ac:dyDescent="0.25">
      <c r="A71">
        <v>88</v>
      </c>
      <c r="B71" t="s">
        <v>55</v>
      </c>
      <c r="C71" t="s">
        <v>6</v>
      </c>
      <c r="D71">
        <v>8000</v>
      </c>
      <c r="E71">
        <v>10000</v>
      </c>
      <c r="F71">
        <v>15000</v>
      </c>
      <c r="G71">
        <v>2</v>
      </c>
      <c r="H71" s="2">
        <v>13000</v>
      </c>
      <c r="I71" s="2">
        <v>20000</v>
      </c>
      <c r="J71">
        <f t="shared" si="6"/>
        <v>8000</v>
      </c>
      <c r="K71">
        <f t="shared" si="7"/>
        <v>15000</v>
      </c>
      <c r="L71">
        <f t="shared" si="8"/>
        <v>-5000</v>
      </c>
      <c r="M71">
        <f t="shared" si="9"/>
        <v>5000</v>
      </c>
      <c r="N71" t="str">
        <f t="shared" si="5"/>
        <v>{id:88, nama:'Tauge', satuan:'Kg', harga1:13000, harga2:20000, harga3:15000,fixed:2},</v>
      </c>
    </row>
    <row r="72" spans="1:14" x14ac:dyDescent="0.25">
      <c r="A72">
        <v>89</v>
      </c>
      <c r="B72" t="s">
        <v>113</v>
      </c>
      <c r="C72" t="s">
        <v>6</v>
      </c>
      <c r="D72">
        <v>5000</v>
      </c>
      <c r="E72">
        <v>10000</v>
      </c>
      <c r="F72">
        <v>12000</v>
      </c>
      <c r="G72">
        <v>2</v>
      </c>
      <c r="H72" s="2">
        <v>2580</v>
      </c>
      <c r="I72" s="2">
        <v>20000</v>
      </c>
      <c r="J72">
        <f t="shared" si="6"/>
        <v>5000</v>
      </c>
      <c r="K72">
        <f t="shared" si="7"/>
        <v>12000</v>
      </c>
      <c r="L72">
        <f t="shared" si="8"/>
        <v>2420</v>
      </c>
      <c r="M72">
        <f t="shared" si="9"/>
        <v>8000</v>
      </c>
      <c r="N72" t="str">
        <f t="shared" si="5"/>
        <v>{id:89, nama:'Labu, labu siam, labu parang', satuan:'Kg', harga1:2580, harga2:20000, harga3:12000,fixed:2},</v>
      </c>
    </row>
    <row r="73" spans="1:14" x14ac:dyDescent="0.25">
      <c r="A73">
        <v>90</v>
      </c>
      <c r="B73" t="s">
        <v>114</v>
      </c>
      <c r="C73" t="s">
        <v>94</v>
      </c>
      <c r="D73">
        <v>4000</v>
      </c>
      <c r="E73">
        <v>5000</v>
      </c>
      <c r="F73">
        <v>6000</v>
      </c>
      <c r="G73">
        <v>0</v>
      </c>
      <c r="H73" s="2">
        <v>3000</v>
      </c>
      <c r="I73" s="2">
        <v>10000</v>
      </c>
      <c r="J73">
        <f t="shared" si="6"/>
        <v>4000</v>
      </c>
      <c r="K73">
        <f t="shared" si="7"/>
        <v>6000</v>
      </c>
      <c r="L73">
        <f t="shared" si="8"/>
        <v>1000</v>
      </c>
      <c r="M73">
        <f t="shared" si="9"/>
        <v>4000</v>
      </c>
      <c r="N73" t="str">
        <f t="shared" si="5"/>
        <v>{id:90, nama:'Bahan sayur sop/capcay/ kimlo (paket)', satuan:'Bungkus', harga1:3000, harga2:10000, harga3:6000,fixed:0},</v>
      </c>
    </row>
    <row r="74" spans="1:14" x14ac:dyDescent="0.25">
      <c r="A74">
        <v>91</v>
      </c>
      <c r="B74" t="s">
        <v>56</v>
      </c>
      <c r="C74" t="s">
        <v>94</v>
      </c>
      <c r="D74">
        <v>4000</v>
      </c>
      <c r="E74">
        <v>5000</v>
      </c>
      <c r="F74">
        <v>5500</v>
      </c>
      <c r="G74">
        <v>0</v>
      </c>
      <c r="H74" s="2">
        <v>3000</v>
      </c>
      <c r="I74" s="2">
        <v>10000</v>
      </c>
      <c r="J74">
        <f t="shared" si="6"/>
        <v>4000</v>
      </c>
      <c r="K74">
        <f t="shared" si="7"/>
        <v>5500</v>
      </c>
      <c r="L74">
        <f t="shared" si="8"/>
        <v>1000</v>
      </c>
      <c r="M74">
        <f t="shared" si="9"/>
        <v>4500</v>
      </c>
      <c r="N74" t="str">
        <f t="shared" si="5"/>
        <v>{id:91, nama:'Bahan sayur asam/lodeh (paket)', satuan:'Bungkus', harga1:3000, harga2:10000, harga3:5500,fixed:0},</v>
      </c>
    </row>
    <row r="75" spans="1:14" x14ac:dyDescent="0.25">
      <c r="A75">
        <v>92</v>
      </c>
      <c r="B75" t="s">
        <v>57</v>
      </c>
      <c r="C75" t="s">
        <v>6</v>
      </c>
      <c r="D75">
        <v>5000</v>
      </c>
      <c r="E75">
        <v>5000</v>
      </c>
      <c r="F75">
        <v>7000</v>
      </c>
      <c r="G75">
        <v>2</v>
      </c>
      <c r="H75" s="2">
        <v>2000</v>
      </c>
      <c r="I75" s="2">
        <v>13000</v>
      </c>
      <c r="J75">
        <f t="shared" si="6"/>
        <v>5000</v>
      </c>
      <c r="K75">
        <f t="shared" si="7"/>
        <v>7000</v>
      </c>
      <c r="L75">
        <f t="shared" si="8"/>
        <v>3000</v>
      </c>
      <c r="M75">
        <f t="shared" si="9"/>
        <v>6000</v>
      </c>
      <c r="N75" t="str">
        <f t="shared" si="5"/>
        <v>{id:92, nama:'Nangka muda', satuan:'Kg', harga1:2000, harga2:13000, harga3:7000,fixed:2},</v>
      </c>
    </row>
    <row r="76" spans="1:14" x14ac:dyDescent="0.25">
      <c r="A76">
        <v>93</v>
      </c>
      <c r="B76" t="s">
        <v>58</v>
      </c>
      <c r="C76" t="s">
        <v>6</v>
      </c>
      <c r="D76">
        <v>3000</v>
      </c>
      <c r="E76">
        <v>4000</v>
      </c>
      <c r="F76">
        <v>5000</v>
      </c>
      <c r="G76">
        <v>2</v>
      </c>
      <c r="H76" s="2">
        <v>1000</v>
      </c>
      <c r="I76" s="2">
        <v>8000</v>
      </c>
      <c r="J76">
        <f t="shared" si="6"/>
        <v>3000</v>
      </c>
      <c r="K76">
        <f t="shared" si="7"/>
        <v>5000</v>
      </c>
      <c r="L76">
        <f t="shared" si="8"/>
        <v>2000</v>
      </c>
      <c r="M76">
        <f t="shared" si="9"/>
        <v>3000</v>
      </c>
      <c r="N76" t="str">
        <f t="shared" si="5"/>
        <v>{id:93, nama:'Pepaya muda', satuan:'Kg', harga1:1000, harga2:8000, harga3:5000,fixed:2},</v>
      </c>
    </row>
    <row r="77" spans="1:14" x14ac:dyDescent="0.25">
      <c r="A77">
        <v>94</v>
      </c>
      <c r="B77" t="s">
        <v>59</v>
      </c>
      <c r="C77" t="s">
        <v>6</v>
      </c>
      <c r="D77">
        <v>20000</v>
      </c>
      <c r="E77">
        <v>25000</v>
      </c>
      <c r="F77">
        <v>30000</v>
      </c>
      <c r="G77">
        <v>2</v>
      </c>
      <c r="H77" s="2">
        <v>20000</v>
      </c>
      <c r="I77" s="2">
        <v>30000</v>
      </c>
      <c r="J77">
        <f t="shared" si="6"/>
        <v>20000</v>
      </c>
      <c r="K77">
        <f t="shared" si="7"/>
        <v>30000</v>
      </c>
      <c r="L77">
        <f t="shared" si="8"/>
        <v>0</v>
      </c>
      <c r="M77">
        <f t="shared" si="9"/>
        <v>0</v>
      </c>
      <c r="N77" t="str">
        <f t="shared" si="5"/>
        <v>{id:94, nama:'Jengkol', satuan:'Kg', harga1:20000, harga2:30000, harga3:30000,fixed:2},</v>
      </c>
    </row>
    <row r="78" spans="1:14" x14ac:dyDescent="0.25">
      <c r="A78">
        <v>95</v>
      </c>
      <c r="B78" t="s">
        <v>60</v>
      </c>
      <c r="C78" t="s">
        <v>91</v>
      </c>
      <c r="D78">
        <v>4000</v>
      </c>
      <c r="E78">
        <v>5000</v>
      </c>
      <c r="F78">
        <v>5000</v>
      </c>
      <c r="G78">
        <v>2</v>
      </c>
      <c r="H78" s="2">
        <v>3000</v>
      </c>
      <c r="I78" s="2">
        <v>4500</v>
      </c>
      <c r="J78">
        <f t="shared" si="6"/>
        <v>4000</v>
      </c>
      <c r="K78">
        <f t="shared" si="7"/>
        <v>5000</v>
      </c>
      <c r="L78">
        <f t="shared" si="8"/>
        <v>1000</v>
      </c>
      <c r="M78">
        <f t="shared" si="9"/>
        <v>-500</v>
      </c>
      <c r="N78" t="str">
        <f t="shared" si="5"/>
        <v>{id:95, nama:'Bawang merah', satuan:'Ons', harga1:3000, harga2:4500, harga3:5000,fixed:2},</v>
      </c>
    </row>
    <row r="79" spans="1:14" x14ac:dyDescent="0.25">
      <c r="A79">
        <v>97</v>
      </c>
      <c r="B79" t="s">
        <v>153</v>
      </c>
      <c r="C79" t="s">
        <v>91</v>
      </c>
      <c r="D79">
        <v>4000</v>
      </c>
      <c r="E79">
        <v>5000</v>
      </c>
      <c r="F79">
        <v>6000</v>
      </c>
      <c r="G79">
        <v>2</v>
      </c>
      <c r="H79" s="2">
        <v>3000</v>
      </c>
      <c r="I79" s="2">
        <v>5000</v>
      </c>
      <c r="J79">
        <f t="shared" si="6"/>
        <v>4000</v>
      </c>
      <c r="K79">
        <f t="shared" si="7"/>
        <v>6000</v>
      </c>
      <c r="N79" t="str">
        <f t="shared" si="5"/>
        <v>{id:97, nama:'Bawang Bombay', satuan:'Ons', harga1:3000, harga2:5000, harga3:6000,fixed:2},</v>
      </c>
    </row>
    <row r="80" spans="1:14" x14ac:dyDescent="0.25">
      <c r="A80">
        <v>96</v>
      </c>
      <c r="B80" t="s">
        <v>61</v>
      </c>
      <c r="C80" t="s">
        <v>91</v>
      </c>
      <c r="D80">
        <v>4000</v>
      </c>
      <c r="E80">
        <v>5000</v>
      </c>
      <c r="F80">
        <v>5000</v>
      </c>
      <c r="G80">
        <v>2</v>
      </c>
      <c r="H80" s="2">
        <v>4000</v>
      </c>
      <c r="I80" s="2">
        <v>4400</v>
      </c>
      <c r="J80">
        <f t="shared" si="6"/>
        <v>4000</v>
      </c>
      <c r="K80">
        <f t="shared" si="7"/>
        <v>5000</v>
      </c>
      <c r="L80">
        <f t="shared" si="8"/>
        <v>0</v>
      </c>
      <c r="M80">
        <f t="shared" si="9"/>
        <v>-600</v>
      </c>
      <c r="N80" t="str">
        <f t="shared" si="5"/>
        <v>{id:96, nama:'Bawang putih', satuan:'Ons', harga1:4000, harga2:4400, harga3:5000,fixed:2},</v>
      </c>
    </row>
    <row r="81" spans="1:14" x14ac:dyDescent="0.25">
      <c r="A81">
        <v>98</v>
      </c>
      <c r="B81" t="s">
        <v>115</v>
      </c>
      <c r="C81" t="s">
        <v>6</v>
      </c>
      <c r="D81">
        <v>65000</v>
      </c>
      <c r="E81">
        <v>75000</v>
      </c>
      <c r="F81">
        <v>100000</v>
      </c>
      <c r="G81">
        <v>2</v>
      </c>
      <c r="H81" s="2">
        <v>50000</v>
      </c>
      <c r="I81" s="2">
        <v>80000</v>
      </c>
      <c r="J81">
        <f t="shared" si="6"/>
        <v>65000</v>
      </c>
      <c r="K81">
        <f t="shared" si="7"/>
        <v>100000</v>
      </c>
      <c r="L81">
        <f t="shared" si="8"/>
        <v>15000</v>
      </c>
      <c r="M81">
        <f t="shared" si="9"/>
        <v>-20000</v>
      </c>
      <c r="N81" t="str">
        <f t="shared" si="5"/>
        <v>{id:98, nama:'Cabe merah', satuan:'Kg', harga1:50000, harga2:80000, harga3:100000,fixed:2},</v>
      </c>
    </row>
    <row r="82" spans="1:14" x14ac:dyDescent="0.25">
      <c r="A82">
        <v>99</v>
      </c>
      <c r="B82" t="s">
        <v>116</v>
      </c>
      <c r="C82" t="s">
        <v>6</v>
      </c>
      <c r="D82">
        <v>45000</v>
      </c>
      <c r="E82">
        <v>60000</v>
      </c>
      <c r="F82">
        <v>75000</v>
      </c>
      <c r="G82">
        <v>2</v>
      </c>
      <c r="H82" s="2">
        <v>30000</v>
      </c>
      <c r="I82" s="2">
        <v>50000</v>
      </c>
      <c r="J82">
        <f t="shared" si="6"/>
        <v>45000</v>
      </c>
      <c r="K82">
        <f t="shared" si="7"/>
        <v>75000</v>
      </c>
      <c r="L82">
        <f t="shared" si="8"/>
        <v>15000</v>
      </c>
      <c r="M82">
        <f t="shared" si="9"/>
        <v>-25000</v>
      </c>
      <c r="N82" t="str">
        <f t="shared" si="5"/>
        <v>{id:99, nama:'Cabe hijau', satuan:'Kg', harga1:30000, harga2:50000, harga3:75000,fixed:2},</v>
      </c>
    </row>
    <row r="83" spans="1:14" x14ac:dyDescent="0.25">
      <c r="A83">
        <v>100</v>
      </c>
      <c r="B83" t="s">
        <v>117</v>
      </c>
      <c r="C83" t="s">
        <v>6</v>
      </c>
      <c r="D83">
        <v>75000</v>
      </c>
      <c r="E83">
        <v>95000</v>
      </c>
      <c r="F83">
        <v>120000</v>
      </c>
      <c r="G83">
        <v>2</v>
      </c>
      <c r="H83" s="2">
        <v>65000</v>
      </c>
      <c r="I83" s="2">
        <v>120000</v>
      </c>
      <c r="J83">
        <f t="shared" si="6"/>
        <v>75000</v>
      </c>
      <c r="K83">
        <f t="shared" si="7"/>
        <v>120000</v>
      </c>
      <c r="L83">
        <f t="shared" si="8"/>
        <v>10000</v>
      </c>
      <c r="M83">
        <f t="shared" si="9"/>
        <v>0</v>
      </c>
      <c r="N83" t="str">
        <f t="shared" si="5"/>
        <v>{id:100, nama:'Cabe rawit', satuan:'Kg', harga1:65000, harga2:120000, harga3:120000,fixed:2},</v>
      </c>
    </row>
    <row r="84" spans="1:14" x14ac:dyDescent="0.25">
      <c r="A84">
        <v>103</v>
      </c>
      <c r="B84" t="s">
        <v>62</v>
      </c>
      <c r="C84" t="s">
        <v>6</v>
      </c>
      <c r="D84">
        <v>25000</v>
      </c>
      <c r="E84">
        <v>32000</v>
      </c>
      <c r="F84">
        <v>35000</v>
      </c>
      <c r="G84">
        <v>2</v>
      </c>
      <c r="H84" s="2">
        <v>25000</v>
      </c>
      <c r="I84" s="2">
        <v>35000</v>
      </c>
      <c r="J84">
        <f t="shared" si="6"/>
        <v>25000</v>
      </c>
      <c r="K84">
        <f t="shared" si="7"/>
        <v>35000</v>
      </c>
      <c r="L84">
        <f t="shared" si="8"/>
        <v>0</v>
      </c>
      <c r="M84">
        <f t="shared" si="9"/>
        <v>0</v>
      </c>
      <c r="N84" t="str">
        <f t="shared" si="5"/>
        <v>{id:103, nama:'Kacang tanah tanpa kulit', satuan:'Kg', harga1:25000, harga2:35000, harga3:35000,fixed:2},</v>
      </c>
    </row>
    <row r="85" spans="1:14" x14ac:dyDescent="0.25">
      <c r="A85">
        <v>104</v>
      </c>
      <c r="B85" t="s">
        <v>63</v>
      </c>
      <c r="C85" t="s">
        <v>6</v>
      </c>
      <c r="D85">
        <v>40000</v>
      </c>
      <c r="E85">
        <v>40000</v>
      </c>
      <c r="F85">
        <v>40500</v>
      </c>
      <c r="G85">
        <v>2</v>
      </c>
      <c r="H85" s="2">
        <v>40000</v>
      </c>
      <c r="I85" s="2">
        <v>40500</v>
      </c>
      <c r="J85">
        <f t="shared" si="6"/>
        <v>40000</v>
      </c>
      <c r="K85">
        <f t="shared" si="7"/>
        <v>40500</v>
      </c>
      <c r="L85">
        <f t="shared" si="8"/>
        <v>0</v>
      </c>
      <c r="M85">
        <f t="shared" si="9"/>
        <v>0</v>
      </c>
      <c r="N85" t="str">
        <f t="shared" si="5"/>
        <v>{id:104, nama:'Kacang kedelai', satuan:'Kg', harga1:40000, harga2:40500, harga3:40500,fixed:2},</v>
      </c>
    </row>
    <row r="86" spans="1:14" x14ac:dyDescent="0.25">
      <c r="A86">
        <v>106</v>
      </c>
      <c r="B86" t="s">
        <v>64</v>
      </c>
      <c r="C86" t="s">
        <v>6</v>
      </c>
      <c r="D86">
        <v>13000</v>
      </c>
      <c r="E86">
        <v>15000</v>
      </c>
      <c r="F86">
        <v>20000</v>
      </c>
      <c r="G86">
        <v>2</v>
      </c>
      <c r="H86" s="2">
        <v>8000</v>
      </c>
      <c r="I86" s="2">
        <v>21000</v>
      </c>
      <c r="J86">
        <f t="shared" si="6"/>
        <v>13000</v>
      </c>
      <c r="K86">
        <f t="shared" si="7"/>
        <v>20000</v>
      </c>
      <c r="L86">
        <f t="shared" si="8"/>
        <v>5000</v>
      </c>
      <c r="M86">
        <f t="shared" si="9"/>
        <v>1000</v>
      </c>
      <c r="N86" t="str">
        <f t="shared" si="5"/>
        <v>{id:106, nama:'Tahu', satuan:'Kg', harga1:8000, harga2:21000, harga3:20000,fixed:2},</v>
      </c>
    </row>
    <row r="87" spans="1:14" x14ac:dyDescent="0.25">
      <c r="A87">
        <v>107</v>
      </c>
      <c r="B87" t="s">
        <v>65</v>
      </c>
      <c r="C87" t="s">
        <v>6</v>
      </c>
      <c r="D87">
        <v>13000</v>
      </c>
      <c r="E87">
        <v>15000</v>
      </c>
      <c r="F87">
        <v>20000</v>
      </c>
      <c r="G87">
        <v>2</v>
      </c>
      <c r="H87" s="2">
        <v>8000</v>
      </c>
      <c r="I87" s="2">
        <v>21000</v>
      </c>
      <c r="J87">
        <f t="shared" si="6"/>
        <v>13000</v>
      </c>
      <c r="K87">
        <f t="shared" si="7"/>
        <v>20000</v>
      </c>
      <c r="L87">
        <f t="shared" si="8"/>
        <v>5000</v>
      </c>
      <c r="M87">
        <f t="shared" si="9"/>
        <v>1000</v>
      </c>
      <c r="N87" t="str">
        <f t="shared" si="5"/>
        <v>{id:107, nama:'Tempe', satuan:'Kg', harga1:8000, harga2:21000, harga3:20000,fixed:2},</v>
      </c>
    </row>
    <row r="88" spans="1:14" x14ac:dyDescent="0.25">
      <c r="A88">
        <v>108</v>
      </c>
      <c r="B88" t="s">
        <v>154</v>
      </c>
      <c r="C88" t="s">
        <v>91</v>
      </c>
      <c r="D88">
        <v>1000</v>
      </c>
      <c r="E88">
        <v>1250</v>
      </c>
      <c r="F88">
        <v>1500</v>
      </c>
      <c r="G88">
        <v>2</v>
      </c>
      <c r="H88" s="2">
        <v>4000</v>
      </c>
      <c r="I88" s="2">
        <v>6000</v>
      </c>
      <c r="J88">
        <f t="shared" si="6"/>
        <v>1000</v>
      </c>
      <c r="K88">
        <f t="shared" si="7"/>
        <v>1500</v>
      </c>
      <c r="N88" t="str">
        <f t="shared" si="5"/>
        <v>{id:108, nama:'Oncom', satuan:'Ons', harga1:4000, harga2:6000, harga3:1500,fixed:2},</v>
      </c>
    </row>
    <row r="89" spans="1:14" x14ac:dyDescent="0.25">
      <c r="A89">
        <v>111</v>
      </c>
      <c r="B89" t="s">
        <v>118</v>
      </c>
      <c r="C89" t="s">
        <v>6</v>
      </c>
      <c r="D89">
        <v>40000</v>
      </c>
      <c r="E89">
        <v>50000</v>
      </c>
      <c r="F89">
        <v>60000</v>
      </c>
      <c r="G89">
        <v>2</v>
      </c>
      <c r="H89" s="2">
        <v>8000</v>
      </c>
      <c r="I89" s="2">
        <v>70000</v>
      </c>
      <c r="J89">
        <f t="shared" si="6"/>
        <v>40000</v>
      </c>
      <c r="K89">
        <f t="shared" si="7"/>
        <v>60000</v>
      </c>
      <c r="L89">
        <f t="shared" si="8"/>
        <v>32000</v>
      </c>
      <c r="M89">
        <f t="shared" si="9"/>
        <v>10000</v>
      </c>
      <c r="N89" t="str">
        <f t="shared" si="5"/>
        <v>{id:111, nama:'Jeruk, jeruk bali', satuan:'Kg', harga1:8000, harga2:70000, harga3:60000,fixed:2},</v>
      </c>
    </row>
    <row r="90" spans="1:14" x14ac:dyDescent="0.25">
      <c r="A90">
        <v>112</v>
      </c>
      <c r="B90" t="s">
        <v>66</v>
      </c>
      <c r="C90" t="s">
        <v>6</v>
      </c>
      <c r="D90">
        <v>15000</v>
      </c>
      <c r="E90">
        <v>25000</v>
      </c>
      <c r="F90">
        <v>30000</v>
      </c>
      <c r="G90">
        <v>2</v>
      </c>
      <c r="H90" s="2">
        <v>15000</v>
      </c>
      <c r="I90" s="2">
        <v>50000</v>
      </c>
      <c r="J90">
        <f t="shared" si="6"/>
        <v>15000</v>
      </c>
      <c r="K90">
        <f t="shared" si="7"/>
        <v>30000</v>
      </c>
      <c r="L90">
        <f t="shared" si="8"/>
        <v>0</v>
      </c>
      <c r="M90">
        <f t="shared" si="9"/>
        <v>20000</v>
      </c>
      <c r="N90" t="str">
        <f t="shared" si="5"/>
        <v>{id:112, nama:'Mangga', satuan:'Kg', harga1:15000, harga2:50000, harga3:30000,fixed:2},</v>
      </c>
    </row>
    <row r="91" spans="1:14" x14ac:dyDescent="0.25">
      <c r="A91">
        <v>113</v>
      </c>
      <c r="B91" t="s">
        <v>67</v>
      </c>
      <c r="C91" t="s">
        <v>6</v>
      </c>
      <c r="D91">
        <v>25000</v>
      </c>
      <c r="E91">
        <v>35000</v>
      </c>
      <c r="F91">
        <v>40000</v>
      </c>
      <c r="G91">
        <v>2</v>
      </c>
      <c r="H91" s="2">
        <v>25000</v>
      </c>
      <c r="I91" s="2">
        <v>60000</v>
      </c>
      <c r="J91">
        <f t="shared" si="6"/>
        <v>25000</v>
      </c>
      <c r="K91">
        <f t="shared" si="7"/>
        <v>40000</v>
      </c>
      <c r="L91">
        <f t="shared" si="8"/>
        <v>0</v>
      </c>
      <c r="M91">
        <f t="shared" si="9"/>
        <v>20000</v>
      </c>
      <c r="N91" t="str">
        <f t="shared" si="5"/>
        <v>{id:113, nama:'Apel', satuan:'Kg', harga1:25000, harga2:60000, harga3:40000,fixed:2},</v>
      </c>
    </row>
    <row r="92" spans="1:14" x14ac:dyDescent="0.25">
      <c r="A92">
        <v>114</v>
      </c>
      <c r="B92" t="s">
        <v>68</v>
      </c>
      <c r="C92" t="s">
        <v>6</v>
      </c>
      <c r="D92">
        <v>6000</v>
      </c>
      <c r="E92">
        <v>10000</v>
      </c>
      <c r="F92">
        <v>12500</v>
      </c>
      <c r="G92">
        <v>2</v>
      </c>
      <c r="H92" s="2">
        <v>6000</v>
      </c>
      <c r="I92" s="2">
        <v>15000</v>
      </c>
      <c r="J92">
        <f t="shared" si="6"/>
        <v>6000</v>
      </c>
      <c r="K92">
        <f t="shared" si="7"/>
        <v>12500</v>
      </c>
      <c r="L92">
        <f t="shared" si="8"/>
        <v>0</v>
      </c>
      <c r="M92">
        <f t="shared" si="9"/>
        <v>2500</v>
      </c>
      <c r="N92" t="str">
        <f t="shared" si="5"/>
        <v>{id:114, nama:'Rambutan', satuan:'Kg', harga1:6000, harga2:15000, harga3:12500,fixed:2},</v>
      </c>
    </row>
    <row r="93" spans="1:14" x14ac:dyDescent="0.25">
      <c r="A93">
        <v>115</v>
      </c>
      <c r="B93" t="s">
        <v>119</v>
      </c>
      <c r="C93" t="s">
        <v>6</v>
      </c>
      <c r="D93">
        <v>2500</v>
      </c>
      <c r="E93">
        <v>5000</v>
      </c>
      <c r="F93">
        <v>10000</v>
      </c>
      <c r="G93">
        <v>2</v>
      </c>
      <c r="H93" s="2">
        <v>2000</v>
      </c>
      <c r="I93" s="2">
        <v>15000</v>
      </c>
      <c r="J93">
        <f t="shared" si="6"/>
        <v>2500</v>
      </c>
      <c r="K93">
        <f t="shared" si="7"/>
        <v>10000</v>
      </c>
      <c r="L93">
        <f t="shared" si="8"/>
        <v>500</v>
      </c>
      <c r="M93">
        <f t="shared" si="9"/>
        <v>5000</v>
      </c>
      <c r="N93" t="str">
        <f t="shared" si="5"/>
        <v>{id:115, nama:'Duku, langsat', satuan:'Kg', harga1:2000, harga2:15000, harga3:10000,fixed:2},</v>
      </c>
    </row>
    <row r="94" spans="1:14" x14ac:dyDescent="0.25">
      <c r="A94">
        <v>116</v>
      </c>
      <c r="B94" t="s">
        <v>69</v>
      </c>
      <c r="C94" t="s">
        <v>6</v>
      </c>
      <c r="D94">
        <v>8000</v>
      </c>
      <c r="E94">
        <v>15000</v>
      </c>
      <c r="F94">
        <v>25000</v>
      </c>
      <c r="G94">
        <v>2</v>
      </c>
      <c r="H94" s="2">
        <v>5000</v>
      </c>
      <c r="I94" s="2">
        <v>36000</v>
      </c>
      <c r="J94">
        <f t="shared" si="6"/>
        <v>8000</v>
      </c>
      <c r="K94">
        <f t="shared" si="7"/>
        <v>25000</v>
      </c>
      <c r="L94">
        <f t="shared" si="8"/>
        <v>3000</v>
      </c>
      <c r="M94">
        <f t="shared" si="9"/>
        <v>11000</v>
      </c>
      <c r="N94" t="str">
        <f t="shared" si="5"/>
        <v>{id:116, nama:'Durian', satuan:'Kg', harga1:5000, harga2:36000, harga3:25000,fixed:2},</v>
      </c>
    </row>
    <row r="95" spans="1:14" x14ac:dyDescent="0.25">
      <c r="A95">
        <v>117</v>
      </c>
      <c r="B95" t="s">
        <v>70</v>
      </c>
      <c r="C95" t="s">
        <v>6</v>
      </c>
      <c r="D95">
        <v>8000</v>
      </c>
      <c r="E95">
        <v>12500</v>
      </c>
      <c r="F95">
        <v>15000</v>
      </c>
      <c r="G95">
        <v>2</v>
      </c>
      <c r="H95" s="2">
        <v>4000</v>
      </c>
      <c r="I95" s="2">
        <v>25000</v>
      </c>
      <c r="J95">
        <f t="shared" si="6"/>
        <v>8000</v>
      </c>
      <c r="K95">
        <f t="shared" si="7"/>
        <v>15000</v>
      </c>
      <c r="L95">
        <f t="shared" si="8"/>
        <v>4000</v>
      </c>
      <c r="M95">
        <f t="shared" si="9"/>
        <v>10000</v>
      </c>
      <c r="N95" t="str">
        <f t="shared" si="5"/>
        <v>{id:117, nama:'Salak', satuan:'Kg', harga1:4000, harga2:25000, harga3:15000,fixed:2},</v>
      </c>
    </row>
    <row r="96" spans="1:14" x14ac:dyDescent="0.25">
      <c r="A96">
        <v>118</v>
      </c>
      <c r="B96" t="s">
        <v>71</v>
      </c>
      <c r="C96" t="s">
        <v>6</v>
      </c>
      <c r="D96">
        <v>7500</v>
      </c>
      <c r="E96">
        <v>9000</v>
      </c>
      <c r="F96">
        <v>12000</v>
      </c>
      <c r="G96">
        <v>2</v>
      </c>
      <c r="H96" s="2">
        <v>6000</v>
      </c>
      <c r="I96" s="2">
        <v>30000</v>
      </c>
      <c r="J96">
        <f t="shared" si="6"/>
        <v>7500</v>
      </c>
      <c r="K96">
        <f t="shared" si="7"/>
        <v>12000</v>
      </c>
      <c r="L96">
        <f t="shared" si="8"/>
        <v>1500</v>
      </c>
      <c r="M96">
        <f t="shared" si="9"/>
        <v>18000</v>
      </c>
      <c r="N96" t="str">
        <f t="shared" si="5"/>
        <v>{id:118, nama:'Pisang ambon', satuan:'Kg', harga1:6000, harga2:30000, harga3:12000,fixed:2},</v>
      </c>
    </row>
    <row r="97" spans="1:14" x14ac:dyDescent="0.25">
      <c r="A97">
        <v>119</v>
      </c>
      <c r="B97" t="s">
        <v>120</v>
      </c>
      <c r="C97" t="s">
        <v>6</v>
      </c>
      <c r="D97">
        <v>6000</v>
      </c>
      <c r="E97">
        <v>8000</v>
      </c>
      <c r="F97">
        <v>10000</v>
      </c>
      <c r="G97">
        <v>2</v>
      </c>
      <c r="H97" s="2">
        <v>3000</v>
      </c>
      <c r="I97" s="2">
        <v>20000</v>
      </c>
      <c r="J97">
        <f t="shared" si="6"/>
        <v>6000</v>
      </c>
      <c r="K97">
        <f t="shared" si="7"/>
        <v>10000</v>
      </c>
      <c r="L97">
        <f t="shared" si="8"/>
        <v>3000</v>
      </c>
      <c r="M97">
        <f t="shared" si="9"/>
        <v>10000</v>
      </c>
      <c r="N97" t="str">
        <f t="shared" si="5"/>
        <v>{id:119, nama:'Pisang lainnya', satuan:'Kg', harga1:3000, harga2:20000, harga3:10000,fixed:2},</v>
      </c>
    </row>
    <row r="98" spans="1:14" x14ac:dyDescent="0.25">
      <c r="A98">
        <v>120</v>
      </c>
      <c r="B98" t="s">
        <v>72</v>
      </c>
      <c r="C98" t="s">
        <v>6</v>
      </c>
      <c r="D98">
        <v>5000</v>
      </c>
      <c r="E98">
        <v>10000</v>
      </c>
      <c r="F98">
        <v>12500</v>
      </c>
      <c r="G98">
        <v>2</v>
      </c>
      <c r="H98" s="2">
        <v>10000</v>
      </c>
      <c r="I98" s="2">
        <v>15000</v>
      </c>
      <c r="J98">
        <f t="shared" si="6"/>
        <v>5000</v>
      </c>
      <c r="K98">
        <f t="shared" si="7"/>
        <v>12500</v>
      </c>
      <c r="L98">
        <f t="shared" si="8"/>
        <v>-5000</v>
      </c>
      <c r="M98">
        <f t="shared" si="9"/>
        <v>2500</v>
      </c>
      <c r="N98" t="str">
        <f t="shared" si="5"/>
        <v>{id:120, nama:'Pepaya', satuan:'Kg', harga1:10000, harga2:15000, harga3:12500,fixed:2},</v>
      </c>
    </row>
    <row r="99" spans="1:14" x14ac:dyDescent="0.25">
      <c r="A99">
        <v>121</v>
      </c>
      <c r="B99" t="s">
        <v>73</v>
      </c>
      <c r="C99" t="s">
        <v>6</v>
      </c>
      <c r="D99">
        <v>7000</v>
      </c>
      <c r="E99">
        <v>8000</v>
      </c>
      <c r="F99">
        <v>15000</v>
      </c>
      <c r="G99">
        <v>2</v>
      </c>
      <c r="H99" s="2">
        <v>10000</v>
      </c>
      <c r="I99" s="2">
        <v>15000</v>
      </c>
      <c r="J99">
        <f t="shared" si="6"/>
        <v>7000</v>
      </c>
      <c r="K99">
        <f t="shared" si="7"/>
        <v>15000</v>
      </c>
      <c r="L99">
        <f t="shared" si="8"/>
        <v>-3000</v>
      </c>
      <c r="M99">
        <f t="shared" si="9"/>
        <v>0</v>
      </c>
      <c r="N99" t="str">
        <f t="shared" si="5"/>
        <v>{id:121, nama:'Semangka', satuan:'Kg', harga1:10000, harga2:15000, harga3:15000,fixed:2},</v>
      </c>
    </row>
    <row r="100" spans="1:14" x14ac:dyDescent="0.25">
      <c r="A100">
        <v>122</v>
      </c>
      <c r="B100" t="s">
        <v>147</v>
      </c>
      <c r="C100" t="s">
        <v>6</v>
      </c>
      <c r="D100">
        <v>30000</v>
      </c>
      <c r="E100">
        <v>32500</v>
      </c>
      <c r="F100">
        <v>35000</v>
      </c>
      <c r="G100">
        <v>2</v>
      </c>
      <c r="H100" s="2">
        <v>30000</v>
      </c>
      <c r="I100" s="2">
        <v>35000</v>
      </c>
      <c r="J100">
        <f t="shared" si="6"/>
        <v>30000</v>
      </c>
      <c r="K100">
        <f t="shared" si="7"/>
        <v>35000</v>
      </c>
      <c r="L100">
        <f t="shared" si="8"/>
        <v>0</v>
      </c>
      <c r="M100">
        <f>I100-K100</f>
        <v>0</v>
      </c>
      <c r="N100" t="str">
        <f t="shared" si="5"/>
        <v>{id:122, nama:'Tomat Buah', satuan:'Kg', harga1:30000, harga2:35000, harga3:35000,fixed:2},</v>
      </c>
    </row>
    <row r="101" spans="1:14" x14ac:dyDescent="0.25">
      <c r="A101">
        <v>123</v>
      </c>
      <c r="B101" t="s">
        <v>148</v>
      </c>
      <c r="C101" t="s">
        <v>6</v>
      </c>
      <c r="D101">
        <v>35000</v>
      </c>
      <c r="E101">
        <v>40000</v>
      </c>
      <c r="F101">
        <v>45000</v>
      </c>
      <c r="G101">
        <v>2</v>
      </c>
      <c r="H101" s="2">
        <v>35000</v>
      </c>
      <c r="I101" s="2">
        <v>45000</v>
      </c>
      <c r="J101">
        <f t="shared" si="6"/>
        <v>35000</v>
      </c>
      <c r="K101">
        <f t="shared" si="7"/>
        <v>45000</v>
      </c>
      <c r="L101">
        <f t="shared" si="8"/>
        <v>0</v>
      </c>
      <c r="M101">
        <f t="shared" si="9"/>
        <v>0</v>
      </c>
      <c r="N101" t="str">
        <f t="shared" si="5"/>
        <v>{id:123, nama:'Alpukat', satuan:'Kg', harga1:35000, harga2:45000, harga3:45000,fixed:2},</v>
      </c>
    </row>
    <row r="102" spans="1:14" x14ac:dyDescent="0.25">
      <c r="A102">
        <v>124</v>
      </c>
      <c r="B102" t="s">
        <v>149</v>
      </c>
      <c r="C102" t="s">
        <v>6</v>
      </c>
      <c r="D102">
        <v>12500</v>
      </c>
      <c r="E102">
        <v>15000</v>
      </c>
      <c r="F102">
        <v>22500</v>
      </c>
      <c r="G102">
        <v>2</v>
      </c>
      <c r="H102" s="2">
        <v>4000</v>
      </c>
      <c r="I102" s="2">
        <v>30000</v>
      </c>
      <c r="J102">
        <f t="shared" si="6"/>
        <v>12500</v>
      </c>
      <c r="K102">
        <f t="shared" si="7"/>
        <v>22500</v>
      </c>
      <c r="L102">
        <f t="shared" si="8"/>
        <v>8500</v>
      </c>
      <c r="M102">
        <f t="shared" si="9"/>
        <v>7500</v>
      </c>
      <c r="N102" t="str">
        <f t="shared" si="5"/>
        <v>{id:124, nama:'Jambu Biji', satuan:'Kg', harga1:4000, harga2:30000, harga3:22500,fixed:2},</v>
      </c>
    </row>
    <row r="103" spans="1:14" x14ac:dyDescent="0.25">
      <c r="A103">
        <v>127</v>
      </c>
      <c r="B103" t="s">
        <v>74</v>
      </c>
      <c r="C103" t="s">
        <v>95</v>
      </c>
      <c r="D103">
        <v>25000</v>
      </c>
      <c r="E103">
        <v>35000</v>
      </c>
      <c r="F103">
        <v>40000</v>
      </c>
      <c r="G103">
        <v>2</v>
      </c>
      <c r="H103" s="2">
        <v>10000</v>
      </c>
      <c r="I103" s="2">
        <v>80000</v>
      </c>
      <c r="J103">
        <f t="shared" si="6"/>
        <v>25000</v>
      </c>
      <c r="K103">
        <f t="shared" si="7"/>
        <v>40000</v>
      </c>
      <c r="L103">
        <f t="shared" si="8"/>
        <v>15000</v>
      </c>
      <c r="M103">
        <f t="shared" si="9"/>
        <v>40000</v>
      </c>
      <c r="N103" t="str">
        <f t="shared" si="5"/>
        <v>{id:127, nama:'Minyak kelapa', satuan:'Liter', harga1:10000, harga2:80000, harga3:40000,fixed:2},</v>
      </c>
    </row>
    <row r="104" spans="1:14" x14ac:dyDescent="0.25">
      <c r="A104">
        <v>128</v>
      </c>
      <c r="B104" t="s">
        <v>121</v>
      </c>
      <c r="C104" t="s">
        <v>95</v>
      </c>
      <c r="D104">
        <v>13000</v>
      </c>
      <c r="E104">
        <v>15000</v>
      </c>
      <c r="F104">
        <v>20000</v>
      </c>
      <c r="G104">
        <v>2</v>
      </c>
      <c r="H104" s="2">
        <v>17000</v>
      </c>
      <c r="I104" s="2">
        <v>25000</v>
      </c>
      <c r="J104">
        <f t="shared" si="6"/>
        <v>13000</v>
      </c>
      <c r="K104">
        <f t="shared" si="7"/>
        <v>20000</v>
      </c>
      <c r="L104">
        <f t="shared" si="8"/>
        <v>-4000</v>
      </c>
      <c r="M104">
        <f t="shared" si="9"/>
        <v>5000</v>
      </c>
      <c r="N104" t="str">
        <f t="shared" si="5"/>
        <v>{id:128, nama:'Minyak goreng (kelapa sawit, bunga matahari)', satuan:'Liter', harga1:17000, harga2:25000, harga3:20000,fixed:2},</v>
      </c>
    </row>
    <row r="105" spans="1:14" x14ac:dyDescent="0.25">
      <c r="A105">
        <v>129</v>
      </c>
      <c r="B105" t="s">
        <v>122</v>
      </c>
      <c r="C105" t="s">
        <v>92</v>
      </c>
      <c r="D105">
        <v>4000</v>
      </c>
      <c r="E105">
        <v>6000</v>
      </c>
      <c r="F105">
        <v>8000</v>
      </c>
      <c r="G105">
        <v>2</v>
      </c>
      <c r="H105" s="2">
        <v>8000</v>
      </c>
      <c r="I105" s="2">
        <v>12000</v>
      </c>
      <c r="J105">
        <f t="shared" si="6"/>
        <v>4000</v>
      </c>
      <c r="K105">
        <f t="shared" si="7"/>
        <v>8000</v>
      </c>
      <c r="L105">
        <f t="shared" si="8"/>
        <v>-4000</v>
      </c>
      <c r="M105">
        <f t="shared" si="9"/>
        <v>4000</v>
      </c>
      <c r="N105" t="str">
        <f t="shared" si="5"/>
        <v>{id:129, nama:'Kelapa (tidak termasuk santan instan)', satuan:'Butir', harga1:8000, harga2:12000, harga3:8000,fixed:2},</v>
      </c>
    </row>
    <row r="106" spans="1:14" x14ac:dyDescent="0.25">
      <c r="A106">
        <v>132</v>
      </c>
      <c r="B106" t="s">
        <v>75</v>
      </c>
      <c r="C106" t="s">
        <v>91</v>
      </c>
      <c r="D106">
        <v>1700</v>
      </c>
      <c r="E106">
        <v>1900</v>
      </c>
      <c r="F106">
        <v>2000</v>
      </c>
      <c r="G106">
        <v>2</v>
      </c>
      <c r="H106" s="2">
        <v>1700</v>
      </c>
      <c r="I106" s="2">
        <v>2200</v>
      </c>
      <c r="J106">
        <f t="shared" si="6"/>
        <v>1700</v>
      </c>
      <c r="K106">
        <f t="shared" si="7"/>
        <v>2000</v>
      </c>
      <c r="L106">
        <f t="shared" si="8"/>
        <v>0</v>
      </c>
      <c r="M106">
        <f t="shared" si="9"/>
        <v>200</v>
      </c>
      <c r="N106" t="str">
        <f t="shared" si="5"/>
        <v>{id:132, nama:'Gula pasir', satuan:'Ons', harga1:1700, harga2:2200, harga3:2000,fixed:2},</v>
      </c>
    </row>
    <row r="107" spans="1:14" x14ac:dyDescent="0.25">
      <c r="A107">
        <v>133</v>
      </c>
      <c r="B107" t="s">
        <v>123</v>
      </c>
      <c r="C107" t="s">
        <v>91</v>
      </c>
      <c r="D107">
        <v>1500</v>
      </c>
      <c r="E107">
        <v>2000</v>
      </c>
      <c r="F107">
        <v>3000</v>
      </c>
      <c r="G107">
        <v>2</v>
      </c>
      <c r="H107" s="2">
        <v>2000</v>
      </c>
      <c r="I107" s="2">
        <v>2200</v>
      </c>
      <c r="J107">
        <f t="shared" si="6"/>
        <v>1500</v>
      </c>
      <c r="K107">
        <f t="shared" si="7"/>
        <v>3000</v>
      </c>
      <c r="L107">
        <f t="shared" si="8"/>
        <v>-500</v>
      </c>
      <c r="M107">
        <f t="shared" si="9"/>
        <v>-800</v>
      </c>
      <c r="N107" t="str">
        <f t="shared" si="5"/>
        <v>{id:133, nama:'Gula merah, gula air (pohon aren, kelapa, lontar)', satuan:'Ons', harga1:2000, harga2:2200, harga3:3000,fixed:2},</v>
      </c>
    </row>
    <row r="108" spans="1:14" x14ac:dyDescent="0.25">
      <c r="A108">
        <v>134</v>
      </c>
      <c r="B108" t="s">
        <v>76</v>
      </c>
      <c r="C108" t="s">
        <v>91</v>
      </c>
      <c r="D108">
        <v>5000</v>
      </c>
      <c r="E108">
        <v>5000</v>
      </c>
      <c r="F108">
        <v>6000</v>
      </c>
      <c r="G108">
        <v>2</v>
      </c>
      <c r="H108" s="2">
        <v>2000</v>
      </c>
      <c r="I108" s="2">
        <v>8000</v>
      </c>
      <c r="J108">
        <f t="shared" si="6"/>
        <v>5000</v>
      </c>
      <c r="K108">
        <f t="shared" si="7"/>
        <v>6000</v>
      </c>
      <c r="L108">
        <f t="shared" si="8"/>
        <v>3000</v>
      </c>
      <c r="M108">
        <f t="shared" si="9"/>
        <v>2000</v>
      </c>
      <c r="N108" t="str">
        <f t="shared" si="5"/>
        <v>{id:134, nama:'Teh bubuk', satuan:'Ons', harga1:2000, harga2:8000, harga3:6000,fixed:2},</v>
      </c>
    </row>
    <row r="109" spans="1:14" x14ac:dyDescent="0.25">
      <c r="A109">
        <v>135</v>
      </c>
      <c r="B109" t="s">
        <v>124</v>
      </c>
      <c r="C109" t="s">
        <v>125</v>
      </c>
      <c r="D109">
        <v>200</v>
      </c>
      <c r="E109">
        <v>200</v>
      </c>
      <c r="F109">
        <v>300</v>
      </c>
      <c r="G109">
        <v>0</v>
      </c>
      <c r="H109" s="2">
        <v>150</v>
      </c>
      <c r="I109" s="2">
        <v>400</v>
      </c>
      <c r="J109">
        <f t="shared" si="6"/>
        <v>200</v>
      </c>
      <c r="K109">
        <f t="shared" si="7"/>
        <v>300</v>
      </c>
      <c r="L109">
        <f t="shared" si="8"/>
        <v>50</v>
      </c>
      <c r="M109">
        <f t="shared" si="9"/>
        <v>100</v>
      </c>
      <c r="N109" t="str">
        <f t="shared" si="5"/>
        <v>{id:135, nama:'Teh celup (sachet)', satuan:'2 gram', harga1:150, harga2:400, harga3:300,fixed:0},</v>
      </c>
    </row>
    <row r="110" spans="1:14" x14ac:dyDescent="0.25">
      <c r="A110">
        <v>136</v>
      </c>
      <c r="B110" t="s">
        <v>77</v>
      </c>
      <c r="C110" t="s">
        <v>91</v>
      </c>
      <c r="D110">
        <v>3000</v>
      </c>
      <c r="E110">
        <v>5000</v>
      </c>
      <c r="F110">
        <v>7000</v>
      </c>
      <c r="G110">
        <v>2</v>
      </c>
      <c r="H110" s="2">
        <v>3000</v>
      </c>
      <c r="I110" s="2">
        <v>12000</v>
      </c>
      <c r="J110">
        <f t="shared" si="6"/>
        <v>3000</v>
      </c>
      <c r="K110">
        <f t="shared" si="7"/>
        <v>7000</v>
      </c>
      <c r="L110">
        <f t="shared" si="8"/>
        <v>0</v>
      </c>
      <c r="M110">
        <f t="shared" si="9"/>
        <v>5000</v>
      </c>
      <c r="N110" t="str">
        <f t="shared" si="5"/>
        <v>{id:136, nama:'Kopi (bubuk, biji)', satuan:'Ons', harga1:3000, harga2:12000, harga3:7000,fixed:2},</v>
      </c>
    </row>
    <row r="111" spans="1:14" x14ac:dyDescent="0.25">
      <c r="A111">
        <v>137</v>
      </c>
      <c r="B111" t="s">
        <v>126</v>
      </c>
      <c r="C111" t="s">
        <v>127</v>
      </c>
      <c r="D111">
        <v>1500</v>
      </c>
      <c r="E111">
        <v>1500</v>
      </c>
      <c r="F111">
        <v>2500</v>
      </c>
      <c r="G111">
        <v>2</v>
      </c>
      <c r="H111" s="2">
        <v>500</v>
      </c>
      <c r="I111" s="2">
        <v>3000</v>
      </c>
      <c r="J111">
        <f t="shared" si="6"/>
        <v>1500</v>
      </c>
      <c r="K111">
        <f t="shared" si="7"/>
        <v>2500</v>
      </c>
      <c r="L111">
        <f t="shared" si="8"/>
        <v>1000</v>
      </c>
      <c r="M111">
        <f t="shared" si="9"/>
        <v>500</v>
      </c>
      <c r="N111" t="str">
        <f t="shared" si="5"/>
        <v>{id:137, nama:'Kopi instan (sachet)', satuan:'20 gram', harga1:500, harga2:3000, harga3:2500,fixed:2},</v>
      </c>
    </row>
    <row r="112" spans="1:14" x14ac:dyDescent="0.25">
      <c r="A112">
        <v>140</v>
      </c>
      <c r="B112" t="s">
        <v>78</v>
      </c>
      <c r="C112" t="s">
        <v>96</v>
      </c>
      <c r="D112">
        <v>10</v>
      </c>
      <c r="E112">
        <v>12</v>
      </c>
      <c r="F112">
        <v>15</v>
      </c>
      <c r="G112">
        <v>0</v>
      </c>
      <c r="H112" s="2">
        <v>10</v>
      </c>
      <c r="I112" s="2">
        <v>32</v>
      </c>
      <c r="J112">
        <f t="shared" si="6"/>
        <v>10</v>
      </c>
      <c r="K112">
        <f t="shared" si="7"/>
        <v>15</v>
      </c>
      <c r="L112">
        <f t="shared" si="8"/>
        <v>0</v>
      </c>
      <c r="M112">
        <f t="shared" si="9"/>
        <v>17</v>
      </c>
      <c r="N112" t="str">
        <f t="shared" si="5"/>
        <v>{id:140, nama:'Garam', satuan:'Gram', harga1:10, harga2:32, harga3:15,fixed:0},</v>
      </c>
    </row>
    <row r="113" spans="1:14" x14ac:dyDescent="0.25">
      <c r="A113">
        <v>141</v>
      </c>
      <c r="B113" t="s">
        <v>79</v>
      </c>
      <c r="C113" t="s">
        <v>96</v>
      </c>
      <c r="D113">
        <v>40</v>
      </c>
      <c r="E113">
        <v>50</v>
      </c>
      <c r="F113">
        <v>60</v>
      </c>
      <c r="G113">
        <v>0</v>
      </c>
      <c r="H113" s="2">
        <v>25</v>
      </c>
      <c r="I113" s="2">
        <v>100</v>
      </c>
      <c r="J113">
        <f t="shared" si="6"/>
        <v>40</v>
      </c>
      <c r="K113">
        <f t="shared" si="7"/>
        <v>60</v>
      </c>
      <c r="L113">
        <f t="shared" si="8"/>
        <v>15</v>
      </c>
      <c r="M113">
        <f t="shared" si="9"/>
        <v>40</v>
      </c>
      <c r="N113" t="str">
        <f t="shared" si="5"/>
        <v>{id:141, nama:'Kemiri', satuan:'Gram', harga1:25, harga2:100, harga3:60,fixed:0},</v>
      </c>
    </row>
    <row r="114" spans="1:14" x14ac:dyDescent="0.25">
      <c r="A114">
        <v>142</v>
      </c>
      <c r="B114" t="s">
        <v>80</v>
      </c>
      <c r="C114" t="s">
        <v>96</v>
      </c>
      <c r="D114">
        <v>50</v>
      </c>
      <c r="E114">
        <v>50</v>
      </c>
      <c r="F114">
        <v>80</v>
      </c>
      <c r="G114">
        <v>0</v>
      </c>
      <c r="H114" s="2">
        <v>50</v>
      </c>
      <c r="I114" s="2">
        <v>110</v>
      </c>
      <c r="J114">
        <f t="shared" si="6"/>
        <v>50</v>
      </c>
      <c r="K114">
        <f t="shared" si="7"/>
        <v>80</v>
      </c>
      <c r="L114">
        <f t="shared" si="8"/>
        <v>0</v>
      </c>
      <c r="M114">
        <f t="shared" si="9"/>
        <v>30</v>
      </c>
      <c r="N114" t="str">
        <f t="shared" si="5"/>
        <v>{id:142, nama:'Ketumbar/jinten', satuan:'Gram', harga1:50, harga2:110, harga3:80,fixed:0},</v>
      </c>
    </row>
    <row r="115" spans="1:14" x14ac:dyDescent="0.25">
      <c r="A115">
        <v>143</v>
      </c>
      <c r="B115" t="s">
        <v>81</v>
      </c>
      <c r="C115" t="s">
        <v>96</v>
      </c>
      <c r="D115">
        <v>140</v>
      </c>
      <c r="E115">
        <v>150</v>
      </c>
      <c r="F115">
        <v>200</v>
      </c>
      <c r="G115">
        <v>0</v>
      </c>
      <c r="H115" s="2">
        <v>120</v>
      </c>
      <c r="I115" s="2">
        <v>500</v>
      </c>
      <c r="J115">
        <f t="shared" si="6"/>
        <v>140</v>
      </c>
      <c r="K115">
        <f t="shared" si="7"/>
        <v>200</v>
      </c>
      <c r="L115">
        <f t="shared" si="8"/>
        <v>20</v>
      </c>
      <c r="M115">
        <f t="shared" si="9"/>
        <v>300</v>
      </c>
      <c r="N115" t="str">
        <f t="shared" si="5"/>
        <v>{id:143, nama:'Merica/lada', satuan:'Gram', harga1:120, harga2:500, harga3:200,fixed:0},</v>
      </c>
    </row>
    <row r="116" spans="1:14" x14ac:dyDescent="0.25">
      <c r="A116">
        <v>144</v>
      </c>
      <c r="B116" t="s">
        <v>150</v>
      </c>
      <c r="C116" t="s">
        <v>96</v>
      </c>
      <c r="D116">
        <v>50</v>
      </c>
      <c r="E116">
        <v>60</v>
      </c>
      <c r="F116">
        <v>85</v>
      </c>
      <c r="G116">
        <v>0</v>
      </c>
      <c r="H116" s="2">
        <v>20</v>
      </c>
      <c r="I116" s="2">
        <v>120</v>
      </c>
      <c r="J116">
        <f t="shared" si="6"/>
        <v>50</v>
      </c>
      <c r="K116">
        <f t="shared" si="7"/>
        <v>85</v>
      </c>
      <c r="L116">
        <f t="shared" si="8"/>
        <v>30</v>
      </c>
      <c r="M116">
        <f t="shared" si="9"/>
        <v>35</v>
      </c>
      <c r="N116" t="str">
        <f t="shared" si="5"/>
        <v>{id:144, nama:'Jahe', satuan:'Gram', harga1:20, harga2:120, harga3:85,fixed:0},</v>
      </c>
    </row>
    <row r="117" spans="1:14" x14ac:dyDescent="0.25">
      <c r="A117">
        <v>145</v>
      </c>
      <c r="B117" t="s">
        <v>151</v>
      </c>
      <c r="C117" t="s">
        <v>96</v>
      </c>
      <c r="D117">
        <v>12</v>
      </c>
      <c r="E117">
        <v>15</v>
      </c>
      <c r="F117">
        <v>30</v>
      </c>
      <c r="G117">
        <v>0</v>
      </c>
      <c r="H117" s="2">
        <v>11</v>
      </c>
      <c r="I117" s="2">
        <v>130</v>
      </c>
      <c r="J117">
        <f t="shared" si="6"/>
        <v>12</v>
      </c>
      <c r="K117">
        <f t="shared" si="7"/>
        <v>30</v>
      </c>
      <c r="L117">
        <f t="shared" si="8"/>
        <v>1</v>
      </c>
      <c r="M117">
        <f t="shared" si="9"/>
        <v>100</v>
      </c>
      <c r="N117" t="str">
        <f t="shared" si="5"/>
        <v>{id:145, nama:'Kunyit', satuan:'Gram', harga1:11, harga2:130, harga3:30,fixed:0},</v>
      </c>
    </row>
    <row r="118" spans="1:14" x14ac:dyDescent="0.25">
      <c r="A118">
        <v>146</v>
      </c>
      <c r="B118" t="s">
        <v>82</v>
      </c>
      <c r="C118" t="s">
        <v>96</v>
      </c>
      <c r="D118">
        <v>35</v>
      </c>
      <c r="E118">
        <v>50</v>
      </c>
      <c r="F118">
        <v>60</v>
      </c>
      <c r="G118">
        <v>0</v>
      </c>
      <c r="H118" s="2">
        <v>20</v>
      </c>
      <c r="I118" s="2">
        <v>80</v>
      </c>
      <c r="J118">
        <f t="shared" si="6"/>
        <v>35</v>
      </c>
      <c r="K118">
        <f t="shared" si="7"/>
        <v>60</v>
      </c>
      <c r="L118">
        <f t="shared" si="8"/>
        <v>15</v>
      </c>
      <c r="M118">
        <f t="shared" si="9"/>
        <v>20</v>
      </c>
      <c r="N118" t="str">
        <f t="shared" si="5"/>
        <v>{id:146, nama:'Asam', satuan:'Gram', harga1:20, harga2:80, harga3:60,fixed:0},</v>
      </c>
    </row>
    <row r="119" spans="1:14" x14ac:dyDescent="0.25">
      <c r="A119">
        <v>147</v>
      </c>
      <c r="B119" t="s">
        <v>83</v>
      </c>
      <c r="C119" t="s">
        <v>96</v>
      </c>
      <c r="D119">
        <v>50</v>
      </c>
      <c r="E119">
        <v>60</v>
      </c>
      <c r="F119">
        <v>75</v>
      </c>
      <c r="G119">
        <v>0</v>
      </c>
      <c r="H119" s="2">
        <v>5000</v>
      </c>
      <c r="I119" s="2">
        <v>8000</v>
      </c>
      <c r="J119">
        <f t="shared" si="6"/>
        <v>50</v>
      </c>
      <c r="K119">
        <f t="shared" si="7"/>
        <v>75</v>
      </c>
      <c r="L119">
        <f t="shared" si="8"/>
        <v>-4950</v>
      </c>
      <c r="M119">
        <f t="shared" si="9"/>
        <v>7925</v>
      </c>
      <c r="N119" t="str">
        <f t="shared" si="5"/>
        <v>{id:147, nama:'Terasi/petis', satuan:'Gram', harga1:5000, harga2:8000, harga3:75,fixed:0},</v>
      </c>
    </row>
    <row r="120" spans="1:14" x14ac:dyDescent="0.25">
      <c r="A120">
        <v>148</v>
      </c>
      <c r="B120" t="s">
        <v>84</v>
      </c>
      <c r="C120" t="s">
        <v>97</v>
      </c>
      <c r="D120">
        <v>4000</v>
      </c>
      <c r="E120">
        <v>4000</v>
      </c>
      <c r="F120">
        <v>5000</v>
      </c>
      <c r="G120">
        <v>2</v>
      </c>
      <c r="H120" s="2">
        <v>3000</v>
      </c>
      <c r="I120" s="2">
        <v>8000</v>
      </c>
      <c r="J120">
        <f t="shared" si="6"/>
        <v>4000</v>
      </c>
      <c r="K120">
        <f t="shared" si="7"/>
        <v>5000</v>
      </c>
      <c r="L120">
        <f t="shared" si="8"/>
        <v>1000</v>
      </c>
      <c r="M120">
        <f t="shared" si="9"/>
        <v>3000</v>
      </c>
      <c r="N120" t="str">
        <f t="shared" si="5"/>
        <v>{id:148, nama:'Kecap', satuan:'100ml', harga1:3000, harga2:8000, harga3:5000,fixed:2},</v>
      </c>
    </row>
    <row r="121" spans="1:14" x14ac:dyDescent="0.25">
      <c r="A121">
        <v>149</v>
      </c>
      <c r="B121" t="s">
        <v>85</v>
      </c>
      <c r="C121" t="s">
        <v>96</v>
      </c>
      <c r="D121">
        <v>50</v>
      </c>
      <c r="E121">
        <v>65</v>
      </c>
      <c r="F121">
        <v>70</v>
      </c>
      <c r="G121">
        <v>0</v>
      </c>
      <c r="H121" s="2">
        <v>30</v>
      </c>
      <c r="I121" s="2">
        <v>250</v>
      </c>
      <c r="J121">
        <f t="shared" si="6"/>
        <v>50</v>
      </c>
      <c r="K121">
        <f t="shared" si="7"/>
        <v>70</v>
      </c>
      <c r="L121">
        <f t="shared" si="8"/>
        <v>20</v>
      </c>
      <c r="M121">
        <f t="shared" si="9"/>
        <v>180</v>
      </c>
      <c r="N121" t="str">
        <f t="shared" si="5"/>
        <v>{id:149, nama:'Penyedap masakan/vetsin', satuan:'Gram', harga1:30, harga2:250, harga3:70,fixed:0},</v>
      </c>
    </row>
    <row r="122" spans="1:14" x14ac:dyDescent="0.25">
      <c r="A122">
        <v>150</v>
      </c>
      <c r="B122" t="s">
        <v>86</v>
      </c>
      <c r="C122" t="s">
        <v>97</v>
      </c>
      <c r="D122">
        <v>4500</v>
      </c>
      <c r="E122">
        <v>7000</v>
      </c>
      <c r="F122">
        <v>8000</v>
      </c>
      <c r="G122">
        <v>2</v>
      </c>
      <c r="H122" s="2">
        <v>3000</v>
      </c>
      <c r="I122" s="2">
        <v>8000</v>
      </c>
      <c r="J122">
        <f t="shared" si="6"/>
        <v>4500</v>
      </c>
      <c r="K122">
        <f t="shared" si="7"/>
        <v>8000</v>
      </c>
      <c r="L122">
        <f t="shared" si="8"/>
        <v>1500</v>
      </c>
      <c r="M122">
        <f t="shared" si="9"/>
        <v>0</v>
      </c>
      <c r="N122" t="str">
        <f t="shared" si="5"/>
        <v>{id:150, nama:'Sambal jadi', satuan:'100ml', harga1:3000, harga2:8000, harga3:8000,fixed:2},</v>
      </c>
    </row>
    <row r="123" spans="1:14" x14ac:dyDescent="0.25">
      <c r="A123">
        <v>151</v>
      </c>
      <c r="B123" t="s">
        <v>87</v>
      </c>
      <c r="C123" t="s">
        <v>97</v>
      </c>
      <c r="D123">
        <v>4500</v>
      </c>
      <c r="E123">
        <v>7000</v>
      </c>
      <c r="F123">
        <v>8000</v>
      </c>
      <c r="G123">
        <v>2</v>
      </c>
      <c r="H123" s="2">
        <v>1000</v>
      </c>
      <c r="I123" s="2">
        <v>10000</v>
      </c>
      <c r="J123">
        <f t="shared" si="6"/>
        <v>4500</v>
      </c>
      <c r="K123">
        <f t="shared" si="7"/>
        <v>8000</v>
      </c>
      <c r="L123">
        <f t="shared" si="8"/>
        <v>3500</v>
      </c>
      <c r="M123">
        <f t="shared" si="9"/>
        <v>2000</v>
      </c>
      <c r="N123" t="str">
        <f t="shared" si="5"/>
        <v>{id:151, nama:'Saus tomat', satuan:'100ml', harga1:1000, harga2:10000, harga3:8000,fixed:2},</v>
      </c>
    </row>
    <row r="124" spans="1:14" x14ac:dyDescent="0.25">
      <c r="A124">
        <v>152</v>
      </c>
      <c r="B124" t="s">
        <v>128</v>
      </c>
      <c r="C124" t="s">
        <v>96</v>
      </c>
      <c r="D124">
        <v>50</v>
      </c>
      <c r="E124">
        <v>60</v>
      </c>
      <c r="F124">
        <v>75</v>
      </c>
      <c r="G124">
        <v>0</v>
      </c>
      <c r="H124" s="2">
        <v>10</v>
      </c>
      <c r="I124" s="2">
        <v>700</v>
      </c>
      <c r="J124">
        <f t="shared" si="6"/>
        <v>50</v>
      </c>
      <c r="K124">
        <f t="shared" si="7"/>
        <v>75</v>
      </c>
      <c r="L124">
        <f t="shared" si="8"/>
        <v>40</v>
      </c>
      <c r="M124">
        <f t="shared" si="9"/>
        <v>625</v>
      </c>
      <c r="N124" t="str">
        <f t="shared" si="5"/>
        <v>{id:152, nama:'Bumbu maskan jadi/kemasan, bumbu racikan', satuan:'Gram', harga1:10, harga2:700, harga3:75,fixed:0},</v>
      </c>
    </row>
    <row r="125" spans="1:14" x14ac:dyDescent="0.25">
      <c r="A125">
        <v>153</v>
      </c>
      <c r="B125" t="s">
        <v>152</v>
      </c>
      <c r="C125" t="s">
        <v>96</v>
      </c>
      <c r="D125">
        <v>50</v>
      </c>
      <c r="E125">
        <v>50</v>
      </c>
      <c r="F125">
        <v>50</v>
      </c>
      <c r="G125">
        <v>0</v>
      </c>
      <c r="H125" s="2">
        <v>20</v>
      </c>
      <c r="I125" s="2">
        <v>9000</v>
      </c>
      <c r="J125">
        <f t="shared" si="6"/>
        <v>50</v>
      </c>
      <c r="K125">
        <f t="shared" si="7"/>
        <v>50</v>
      </c>
      <c r="L125">
        <f t="shared" si="8"/>
        <v>30</v>
      </c>
      <c r="M125">
        <f t="shared" si="9"/>
        <v>8950</v>
      </c>
      <c r="N125" t="str">
        <f t="shared" si="5"/>
        <v>{id:153, nama:'Bumbu dapur lainnya (pala,  kencur, kapulaga, dsb.)', satuan:'Gram', harga1:20, harga2:9000, harga3:50,fixed:0},</v>
      </c>
    </row>
    <row r="126" spans="1:14" x14ac:dyDescent="0.25">
      <c r="A126">
        <v>156</v>
      </c>
      <c r="B126" t="s">
        <v>88</v>
      </c>
      <c r="C126" t="s">
        <v>91</v>
      </c>
      <c r="D126">
        <v>1500</v>
      </c>
      <c r="E126">
        <v>1800</v>
      </c>
      <c r="F126">
        <v>2000</v>
      </c>
      <c r="G126">
        <v>2</v>
      </c>
      <c r="H126" s="2">
        <v>1000</v>
      </c>
      <c r="I126" s="2">
        <v>10000</v>
      </c>
      <c r="J126">
        <f t="shared" si="6"/>
        <v>1500</v>
      </c>
      <c r="K126">
        <f t="shared" si="7"/>
        <v>2000</v>
      </c>
      <c r="L126">
        <f t="shared" si="8"/>
        <v>500</v>
      </c>
      <c r="M126">
        <f t="shared" si="9"/>
        <v>8000</v>
      </c>
      <c r="N126" t="str">
        <f t="shared" si="5"/>
        <v>{id:156, nama:'Kerupuk', satuan:'Ons', harga1:1000, harga2:10000, harga3:2000,fixed:2},</v>
      </c>
    </row>
    <row r="127" spans="1:14" x14ac:dyDescent="0.25">
      <c r="A127">
        <v>157</v>
      </c>
      <c r="B127" t="s">
        <v>89</v>
      </c>
      <c r="C127" t="s">
        <v>129</v>
      </c>
      <c r="D127">
        <v>8000</v>
      </c>
      <c r="E127">
        <v>10000</v>
      </c>
      <c r="F127">
        <v>15000</v>
      </c>
      <c r="G127">
        <v>2</v>
      </c>
      <c r="H127" s="2">
        <v>5000</v>
      </c>
      <c r="I127" s="2">
        <v>15000</v>
      </c>
      <c r="J127">
        <f t="shared" si="6"/>
        <v>8000</v>
      </c>
      <c r="K127">
        <f t="shared" si="7"/>
        <v>15000</v>
      </c>
      <c r="L127">
        <f t="shared" si="8"/>
        <v>3000</v>
      </c>
      <c r="M127">
        <f t="shared" si="9"/>
        <v>0</v>
      </c>
      <c r="N127" t="str">
        <f t="shared" si="5"/>
        <v>{id:157, nama:'Bubur bayi kemasan', satuan:'Kotak kecil (150 gr)', harga1:5000, harga2:15000, harga3:15000,fixed:2},</v>
      </c>
    </row>
    <row r="128" spans="1:14" x14ac:dyDescent="0.25">
      <c r="A128">
        <v>160</v>
      </c>
      <c r="B128" t="s">
        <v>90</v>
      </c>
      <c r="C128" t="s">
        <v>130</v>
      </c>
      <c r="D128">
        <v>1000</v>
      </c>
      <c r="E128">
        <v>1500</v>
      </c>
      <c r="F128">
        <v>4000</v>
      </c>
      <c r="G128">
        <v>0</v>
      </c>
      <c r="H128" s="2">
        <v>500</v>
      </c>
      <c r="I128" s="2">
        <v>12000</v>
      </c>
      <c r="J128">
        <f t="shared" si="6"/>
        <v>1000</v>
      </c>
      <c r="K128">
        <f t="shared" si="7"/>
        <v>4000</v>
      </c>
      <c r="L128">
        <f t="shared" si="8"/>
        <v>500</v>
      </c>
      <c r="M128">
        <f t="shared" si="9"/>
        <v>8000</v>
      </c>
      <c r="N128" t="str">
        <f t="shared" si="5"/>
        <v>{id:160, nama:'Roti tawar', satuan:'Potong', harga1:500, harga2:12000, harga3:4000,fixed:0},</v>
      </c>
    </row>
    <row r="129" spans="1:14" x14ac:dyDescent="0.25">
      <c r="A129">
        <v>161</v>
      </c>
      <c r="B129" t="s">
        <v>131</v>
      </c>
      <c r="C129" t="s">
        <v>130</v>
      </c>
      <c r="D129">
        <v>1000</v>
      </c>
      <c r="E129">
        <v>1500</v>
      </c>
      <c r="F129">
        <v>4000</v>
      </c>
      <c r="G129">
        <v>0</v>
      </c>
      <c r="H129" s="2">
        <v>1000</v>
      </c>
      <c r="I129" s="2">
        <v>20000</v>
      </c>
      <c r="J129">
        <f t="shared" si="6"/>
        <v>1000</v>
      </c>
      <c r="K129">
        <f t="shared" si="7"/>
        <v>4000</v>
      </c>
      <c r="L129">
        <f t="shared" si="8"/>
        <v>0</v>
      </c>
      <c r="M129">
        <f t="shared" si="9"/>
        <v>16000</v>
      </c>
      <c r="N129" t="str">
        <f t="shared" si="5"/>
        <v>{id:161, nama:'Roti manis, roti lainnya', satuan:'Potong', harga1:1000, harga2:20000, harga3:4000,fixed:0},</v>
      </c>
    </row>
    <row r="130" spans="1:14" x14ac:dyDescent="0.25">
      <c r="A130">
        <v>162</v>
      </c>
      <c r="B130" t="s">
        <v>132</v>
      </c>
      <c r="C130" t="s">
        <v>91</v>
      </c>
      <c r="D130">
        <v>8000</v>
      </c>
      <c r="E130">
        <v>8000</v>
      </c>
      <c r="F130">
        <v>8000</v>
      </c>
      <c r="G130">
        <v>2</v>
      </c>
      <c r="H130" s="2">
        <v>1000</v>
      </c>
      <c r="I130" s="2">
        <v>30000</v>
      </c>
      <c r="J130">
        <f t="shared" si="6"/>
        <v>8000</v>
      </c>
      <c r="K130">
        <f t="shared" si="7"/>
        <v>8000</v>
      </c>
      <c r="L130">
        <f t="shared" si="8"/>
        <v>7000</v>
      </c>
      <c r="M130">
        <f t="shared" si="9"/>
        <v>22000</v>
      </c>
      <c r="N130" t="str">
        <f t="shared" si="5"/>
        <v>{id:162, nama:'Kue kering, biskuit, semprong', satuan:'Ons', harga1:1000, harga2:30000, harga3:8000,fixed:2},</v>
      </c>
    </row>
    <row r="131" spans="1:14" x14ac:dyDescent="0.25">
      <c r="A131">
        <v>177</v>
      </c>
      <c r="B131" t="s">
        <v>133</v>
      </c>
      <c r="C131" t="s">
        <v>91</v>
      </c>
      <c r="D131">
        <v>10000</v>
      </c>
      <c r="E131">
        <v>10000</v>
      </c>
      <c r="F131">
        <v>10000</v>
      </c>
      <c r="G131">
        <v>2</v>
      </c>
      <c r="H131" s="2">
        <v>1000</v>
      </c>
      <c r="I131" s="2">
        <v>20000</v>
      </c>
      <c r="J131">
        <f t="shared" si="6"/>
        <v>10000</v>
      </c>
      <c r="K131">
        <f t="shared" si="7"/>
        <v>10000</v>
      </c>
      <c r="L131">
        <f t="shared" si="8"/>
        <v>9000</v>
      </c>
      <c r="M131">
        <f t="shared" si="9"/>
        <v>10000</v>
      </c>
      <c r="N131" t="str">
        <f t="shared" ref="N131:N132" si="10">CONCATENATE("{id:",A131,", nama:'",B131,"', satuan:'",C131,"', harga1:",H131,", harga2:",I131,", harga3:",F131,",fixed:",G131,"},")</f>
        <v>{id:177, nama:'Makanan ringan anak-anak, krupuk/kripik', satuan:'Ons', harga1:1000, harga2:20000, harga3:10000,fixed:2},</v>
      </c>
    </row>
    <row r="132" spans="1:14" x14ac:dyDescent="0.25">
      <c r="A132">
        <v>186</v>
      </c>
      <c r="B132" t="s">
        <v>134</v>
      </c>
      <c r="C132" t="s">
        <v>135</v>
      </c>
      <c r="D132">
        <v>5000</v>
      </c>
      <c r="E132">
        <v>5000</v>
      </c>
      <c r="F132">
        <v>6000</v>
      </c>
      <c r="G132">
        <v>2</v>
      </c>
      <c r="H132" s="2">
        <v>1000</v>
      </c>
      <c r="I132" s="2">
        <v>10000</v>
      </c>
      <c r="J132">
        <f t="shared" si="6"/>
        <v>5000</v>
      </c>
      <c r="K132">
        <f t="shared" si="7"/>
        <v>6000</v>
      </c>
      <c r="L132">
        <f t="shared" si="8"/>
        <v>4000</v>
      </c>
      <c r="M132">
        <f t="shared" si="9"/>
        <v>4000</v>
      </c>
      <c r="N132" t="str">
        <f t="shared" si="10"/>
        <v>{id:186, nama:'Air teh kemasan, minuman bersoda/mengandung CO2', satuan:'250ml', harga1:1000, harga2:10000, harga3:6000,fixed:2},</v>
      </c>
    </row>
  </sheetData>
  <conditionalFormatting sqref="L2:M132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896AF-B559-4A37-AC8B-C38A6A86ACDE}">
  <dimension ref="A1:C209"/>
  <sheetViews>
    <sheetView topLeftCell="A107" workbookViewId="0">
      <selection activeCell="L16" sqref="L16"/>
    </sheetView>
  </sheetViews>
  <sheetFormatPr defaultRowHeight="15" x14ac:dyDescent="0.25"/>
  <sheetData>
    <row r="1" spans="1:3" x14ac:dyDescent="0.25">
      <c r="A1" s="6" t="s">
        <v>156</v>
      </c>
      <c r="B1" s="4"/>
      <c r="C1" s="5"/>
    </row>
    <row r="2" spans="1:3" x14ac:dyDescent="0.25">
      <c r="A2" s="6"/>
      <c r="B2" s="4">
        <v>7</v>
      </c>
      <c r="C2" s="5">
        <v>7</v>
      </c>
    </row>
    <row r="3" spans="1:3" x14ac:dyDescent="0.25">
      <c r="A3" s="3">
        <v>1</v>
      </c>
      <c r="B3" s="3">
        <v>0</v>
      </c>
      <c r="C3" s="3">
        <v>0</v>
      </c>
    </row>
    <row r="4" spans="1:3" x14ac:dyDescent="0.25">
      <c r="A4" s="3">
        <v>2</v>
      </c>
      <c r="B4" s="3">
        <v>7500</v>
      </c>
      <c r="C4" s="3">
        <v>23500</v>
      </c>
    </row>
    <row r="5" spans="1:3" x14ac:dyDescent="0.25">
      <c r="A5" s="3">
        <v>3</v>
      </c>
      <c r="B5" s="3">
        <v>8500</v>
      </c>
      <c r="C5" s="3">
        <v>26000</v>
      </c>
    </row>
    <row r="6" spans="1:3" x14ac:dyDescent="0.25">
      <c r="A6" s="3">
        <v>4</v>
      </c>
      <c r="B6" s="3">
        <v>5000</v>
      </c>
      <c r="C6" s="3">
        <v>16000</v>
      </c>
    </row>
    <row r="7" spans="1:3" x14ac:dyDescent="0.25">
      <c r="A7" s="3">
        <v>5</v>
      </c>
      <c r="B7" s="3">
        <v>15000</v>
      </c>
      <c r="C7" s="3">
        <v>20000</v>
      </c>
    </row>
    <row r="8" spans="1:3" x14ac:dyDescent="0.25">
      <c r="A8" s="3">
        <v>6</v>
      </c>
      <c r="B8" s="3">
        <v>10000</v>
      </c>
      <c r="C8" s="3">
        <v>15000</v>
      </c>
    </row>
    <row r="9" spans="1:3" x14ac:dyDescent="0.25">
      <c r="A9" s="3">
        <v>7</v>
      </c>
      <c r="B9" s="3">
        <v>5000</v>
      </c>
      <c r="C9" s="3">
        <v>30000</v>
      </c>
    </row>
    <row r="10" spans="1:3" x14ac:dyDescent="0.25">
      <c r="A10" s="3">
        <v>8</v>
      </c>
      <c r="B10" s="3">
        <v>0</v>
      </c>
      <c r="C10" s="3">
        <v>0</v>
      </c>
    </row>
    <row r="11" spans="1:3" x14ac:dyDescent="0.25">
      <c r="A11" s="3">
        <v>9</v>
      </c>
      <c r="B11" s="3">
        <v>2000</v>
      </c>
      <c r="C11" s="3">
        <v>10000</v>
      </c>
    </row>
    <row r="12" spans="1:3" x14ac:dyDescent="0.25">
      <c r="A12" s="3">
        <v>10</v>
      </c>
      <c r="B12" s="3">
        <v>3000</v>
      </c>
      <c r="C12" s="3">
        <v>11000</v>
      </c>
    </row>
    <row r="13" spans="1:3" x14ac:dyDescent="0.25">
      <c r="A13" s="3">
        <v>11</v>
      </c>
      <c r="B13" s="3">
        <v>4000</v>
      </c>
      <c r="C13" s="3">
        <v>20000</v>
      </c>
    </row>
    <row r="14" spans="1:3" x14ac:dyDescent="0.25">
      <c r="A14" s="3">
        <v>12</v>
      </c>
      <c r="B14" s="3">
        <v>3000</v>
      </c>
      <c r="C14" s="3">
        <v>20000</v>
      </c>
    </row>
    <row r="15" spans="1:3" x14ac:dyDescent="0.25">
      <c r="A15" s="3">
        <v>13</v>
      </c>
      <c r="B15" s="3">
        <v>10000</v>
      </c>
      <c r="C15" s="3">
        <v>25000</v>
      </c>
    </row>
    <row r="16" spans="1:3" x14ac:dyDescent="0.25">
      <c r="A16" s="3">
        <v>14</v>
      </c>
      <c r="B16" s="3">
        <v>8000</v>
      </c>
      <c r="C16" s="3">
        <v>10000</v>
      </c>
    </row>
    <row r="17" spans="1:3" x14ac:dyDescent="0.25">
      <c r="A17" s="3">
        <v>15</v>
      </c>
      <c r="B17" s="3">
        <v>1800</v>
      </c>
      <c r="C17" s="3">
        <v>20000</v>
      </c>
    </row>
    <row r="18" spans="1:3" x14ac:dyDescent="0.25">
      <c r="A18" s="3">
        <v>16</v>
      </c>
      <c r="B18" s="3">
        <v>0</v>
      </c>
      <c r="C18" s="3">
        <v>0</v>
      </c>
    </row>
    <row r="19" spans="1:3" x14ac:dyDescent="0.25">
      <c r="A19" s="3">
        <v>17</v>
      </c>
      <c r="B19" s="3">
        <v>25000</v>
      </c>
      <c r="C19" s="3">
        <v>50000</v>
      </c>
    </row>
    <row r="20" spans="1:3" x14ac:dyDescent="0.25">
      <c r="A20" s="3">
        <v>18</v>
      </c>
      <c r="B20" s="3">
        <v>24000</v>
      </c>
      <c r="C20" s="3">
        <v>50000</v>
      </c>
    </row>
    <row r="21" spans="1:3" x14ac:dyDescent="0.25">
      <c r="A21" s="3">
        <v>19</v>
      </c>
      <c r="B21" s="3">
        <v>28000</v>
      </c>
      <c r="C21" s="3">
        <v>50000</v>
      </c>
    </row>
    <row r="22" spans="1:3" x14ac:dyDescent="0.25">
      <c r="A22" s="3">
        <v>20</v>
      </c>
      <c r="B22" s="3">
        <v>25000</v>
      </c>
      <c r="C22" s="3">
        <v>50000</v>
      </c>
    </row>
    <row r="23" spans="1:3" x14ac:dyDescent="0.25">
      <c r="A23" s="3">
        <v>21</v>
      </c>
      <c r="B23" s="3">
        <v>15000</v>
      </c>
      <c r="C23" s="3">
        <v>60000</v>
      </c>
    </row>
    <row r="24" spans="1:3" x14ac:dyDescent="0.25">
      <c r="A24" s="3">
        <v>22</v>
      </c>
      <c r="B24" s="3">
        <v>25000</v>
      </c>
      <c r="C24" s="3">
        <v>48000</v>
      </c>
    </row>
    <row r="25" spans="1:3" x14ac:dyDescent="0.25">
      <c r="A25" s="3">
        <v>23</v>
      </c>
      <c r="B25" s="3">
        <v>25000</v>
      </c>
      <c r="C25" s="3">
        <v>50000</v>
      </c>
    </row>
    <row r="26" spans="1:3" x14ac:dyDescent="0.25">
      <c r="A26" s="3">
        <v>24</v>
      </c>
      <c r="B26" s="3">
        <v>20000</v>
      </c>
      <c r="C26" s="3">
        <v>30000</v>
      </c>
    </row>
    <row r="27" spans="1:3" x14ac:dyDescent="0.25">
      <c r="A27" s="3">
        <v>25</v>
      </c>
      <c r="B27" s="3">
        <v>25000</v>
      </c>
      <c r="C27" s="3">
        <v>45000</v>
      </c>
    </row>
    <row r="28" spans="1:3" x14ac:dyDescent="0.25">
      <c r="A28" s="3">
        <v>26</v>
      </c>
      <c r="B28" s="3">
        <v>25000</v>
      </c>
      <c r="C28" s="3">
        <v>65000</v>
      </c>
    </row>
    <row r="29" spans="1:3" x14ac:dyDescent="0.25">
      <c r="A29" s="3">
        <v>27</v>
      </c>
      <c r="B29" s="3">
        <v>25000</v>
      </c>
      <c r="C29" s="3">
        <v>100000</v>
      </c>
    </row>
    <row r="30" spans="1:3" x14ac:dyDescent="0.25">
      <c r="A30" s="3">
        <v>28</v>
      </c>
      <c r="B30" s="3">
        <v>28000</v>
      </c>
      <c r="C30" s="3">
        <v>60000</v>
      </c>
    </row>
    <row r="31" spans="1:3" x14ac:dyDescent="0.25">
      <c r="A31" s="3">
        <v>29</v>
      </c>
      <c r="B31" s="3">
        <v>25000</v>
      </c>
      <c r="C31" s="3">
        <v>45000</v>
      </c>
    </row>
    <row r="32" spans="1:3" x14ac:dyDescent="0.25">
      <c r="A32" s="3">
        <v>30</v>
      </c>
      <c r="B32" s="3">
        <v>18000</v>
      </c>
      <c r="C32" s="3">
        <v>72000</v>
      </c>
    </row>
    <row r="33" spans="1:3" x14ac:dyDescent="0.25">
      <c r="A33" s="3">
        <v>31</v>
      </c>
      <c r="B33" s="3">
        <v>35000</v>
      </c>
      <c r="C33" s="3">
        <v>50000</v>
      </c>
    </row>
    <row r="34" spans="1:3" x14ac:dyDescent="0.25">
      <c r="A34" s="3">
        <v>32</v>
      </c>
      <c r="B34" s="3">
        <v>22000</v>
      </c>
      <c r="C34" s="3">
        <v>35000</v>
      </c>
    </row>
    <row r="35" spans="1:3" x14ac:dyDescent="0.25">
      <c r="A35" s="3">
        <v>33</v>
      </c>
      <c r="B35" s="3">
        <v>18000</v>
      </c>
      <c r="C35" s="3">
        <v>36000</v>
      </c>
    </row>
    <row r="36" spans="1:3" x14ac:dyDescent="0.25">
      <c r="A36" s="3">
        <v>34</v>
      </c>
      <c r="B36" s="3">
        <v>25000</v>
      </c>
      <c r="C36" s="3">
        <v>40000</v>
      </c>
    </row>
    <row r="37" spans="1:3" x14ac:dyDescent="0.25">
      <c r="A37" s="3">
        <v>35</v>
      </c>
      <c r="B37" s="3">
        <v>20000</v>
      </c>
      <c r="C37" s="3">
        <v>60000</v>
      </c>
    </row>
    <row r="38" spans="1:3" x14ac:dyDescent="0.25">
      <c r="A38" s="3">
        <v>36</v>
      </c>
      <c r="B38" s="3">
        <v>10000</v>
      </c>
      <c r="C38" s="3">
        <v>200000</v>
      </c>
    </row>
    <row r="39" spans="1:3" x14ac:dyDescent="0.25">
      <c r="A39" s="3">
        <v>37</v>
      </c>
      <c r="B39" s="3">
        <v>25000</v>
      </c>
      <c r="C39" s="3">
        <v>2000000</v>
      </c>
    </row>
    <row r="40" spans="1:3" x14ac:dyDescent="0.25">
      <c r="A40" s="3">
        <v>38</v>
      </c>
      <c r="B40" s="3">
        <v>30000</v>
      </c>
      <c r="C40" s="3">
        <v>100000</v>
      </c>
    </row>
    <row r="41" spans="1:3" x14ac:dyDescent="0.25">
      <c r="A41" s="3">
        <v>39</v>
      </c>
      <c r="B41" s="3">
        <v>35000</v>
      </c>
      <c r="C41" s="3">
        <v>80000</v>
      </c>
    </row>
    <row r="42" spans="1:3" x14ac:dyDescent="0.25">
      <c r="A42" s="3">
        <v>40</v>
      </c>
      <c r="B42" s="3">
        <v>60000</v>
      </c>
      <c r="C42" s="3">
        <v>80000</v>
      </c>
    </row>
    <row r="43" spans="1:3" x14ac:dyDescent="0.25">
      <c r="A43" s="3">
        <v>41</v>
      </c>
      <c r="B43" s="3">
        <v>6000</v>
      </c>
      <c r="C43" s="3">
        <v>100000</v>
      </c>
    </row>
    <row r="44" spans="1:3" x14ac:dyDescent="0.25">
      <c r="A44" s="3">
        <v>42</v>
      </c>
      <c r="B44" s="3">
        <v>3000</v>
      </c>
      <c r="C44" s="3">
        <v>13000</v>
      </c>
    </row>
    <row r="45" spans="1:3" x14ac:dyDescent="0.25">
      <c r="A45" s="3">
        <v>43</v>
      </c>
      <c r="B45" s="3">
        <v>5000</v>
      </c>
      <c r="C45" s="3">
        <v>15000</v>
      </c>
    </row>
    <row r="46" spans="1:3" x14ac:dyDescent="0.25">
      <c r="A46" s="3">
        <v>44</v>
      </c>
      <c r="B46" s="3">
        <v>4000</v>
      </c>
      <c r="C46" s="3">
        <v>17000</v>
      </c>
    </row>
    <row r="47" spans="1:3" x14ac:dyDescent="0.25">
      <c r="A47" s="3">
        <v>45</v>
      </c>
      <c r="B47" s="3">
        <v>4000</v>
      </c>
      <c r="C47" s="3">
        <v>15000</v>
      </c>
    </row>
    <row r="48" spans="1:3" x14ac:dyDescent="0.25">
      <c r="A48" s="3">
        <v>46</v>
      </c>
      <c r="B48" s="3">
        <v>4000</v>
      </c>
      <c r="C48" s="3">
        <v>10000</v>
      </c>
    </row>
    <row r="49" spans="1:3" x14ac:dyDescent="0.25">
      <c r="A49" s="3">
        <v>47</v>
      </c>
      <c r="B49" s="3">
        <v>3000</v>
      </c>
      <c r="C49" s="3">
        <v>17000</v>
      </c>
    </row>
    <row r="50" spans="1:3" x14ac:dyDescent="0.25">
      <c r="A50" s="3">
        <v>48</v>
      </c>
      <c r="B50" s="3">
        <v>8000</v>
      </c>
      <c r="C50" s="3">
        <v>15000</v>
      </c>
    </row>
    <row r="51" spans="1:3" x14ac:dyDescent="0.25">
      <c r="A51" s="3">
        <v>49</v>
      </c>
      <c r="B51" s="3">
        <v>4500</v>
      </c>
      <c r="C51" s="3">
        <v>17000</v>
      </c>
    </row>
    <row r="52" spans="1:3" x14ac:dyDescent="0.25">
      <c r="A52" s="3">
        <v>50</v>
      </c>
      <c r="B52" s="3">
        <v>4000</v>
      </c>
      <c r="C52" s="3">
        <v>12000</v>
      </c>
    </row>
    <row r="53" spans="1:3" x14ac:dyDescent="0.25">
      <c r="A53" s="3">
        <v>51</v>
      </c>
      <c r="B53" s="3">
        <v>2000</v>
      </c>
      <c r="C53" s="3">
        <v>13000</v>
      </c>
    </row>
    <row r="54" spans="1:3" x14ac:dyDescent="0.25">
      <c r="A54" s="3">
        <v>52</v>
      </c>
      <c r="B54" s="3">
        <v>5000</v>
      </c>
      <c r="C54" s="3">
        <v>14000</v>
      </c>
    </row>
    <row r="55" spans="1:3" x14ac:dyDescent="0.25">
      <c r="A55" s="3">
        <v>53</v>
      </c>
      <c r="B55" s="3">
        <v>6000</v>
      </c>
      <c r="C55" s="3">
        <v>18000</v>
      </c>
    </row>
    <row r="56" spans="1:3" x14ac:dyDescent="0.25">
      <c r="A56" s="3">
        <v>54</v>
      </c>
      <c r="B56" s="3">
        <v>1000</v>
      </c>
      <c r="C56" s="3">
        <v>15000</v>
      </c>
    </row>
    <row r="57" spans="1:3" x14ac:dyDescent="0.25">
      <c r="A57" s="3">
        <v>55</v>
      </c>
      <c r="B57" s="3">
        <v>0</v>
      </c>
      <c r="C57" s="3">
        <v>0</v>
      </c>
    </row>
    <row r="58" spans="1:3" x14ac:dyDescent="0.25">
      <c r="A58" s="3">
        <v>56</v>
      </c>
      <c r="B58" s="3">
        <v>110000</v>
      </c>
      <c r="C58" s="3">
        <v>170000</v>
      </c>
    </row>
    <row r="59" spans="1:3" x14ac:dyDescent="0.25">
      <c r="A59" s="3">
        <v>57</v>
      </c>
      <c r="B59" s="3">
        <v>95000</v>
      </c>
      <c r="C59" s="3">
        <v>200000</v>
      </c>
    </row>
    <row r="60" spans="1:3" x14ac:dyDescent="0.25">
      <c r="A60" s="3">
        <v>58</v>
      </c>
      <c r="B60" s="3">
        <v>120000</v>
      </c>
      <c r="C60" s="3">
        <v>150000</v>
      </c>
    </row>
    <row r="61" spans="1:3" x14ac:dyDescent="0.25">
      <c r="A61" s="3">
        <v>59</v>
      </c>
      <c r="B61" s="3">
        <v>20000</v>
      </c>
      <c r="C61" s="3">
        <v>55000</v>
      </c>
    </row>
    <row r="62" spans="1:3" x14ac:dyDescent="0.25">
      <c r="A62" s="3">
        <v>60</v>
      </c>
      <c r="B62" s="3">
        <v>30000</v>
      </c>
      <c r="C62" s="3">
        <v>80000</v>
      </c>
    </row>
    <row r="63" spans="1:3" x14ac:dyDescent="0.25">
      <c r="A63" s="3">
        <v>61</v>
      </c>
      <c r="B63" s="3">
        <v>27000</v>
      </c>
      <c r="C63" s="3">
        <v>65000</v>
      </c>
    </row>
    <row r="64" spans="1:3" x14ac:dyDescent="0.25">
      <c r="A64" s="3">
        <v>62</v>
      </c>
      <c r="B64" s="3">
        <v>40000</v>
      </c>
      <c r="C64" s="3">
        <v>60000</v>
      </c>
    </row>
    <row r="65" spans="1:3" x14ac:dyDescent="0.25">
      <c r="A65" s="3">
        <v>63</v>
      </c>
      <c r="B65" s="3">
        <v>30000</v>
      </c>
      <c r="C65" s="3">
        <v>51000</v>
      </c>
    </row>
    <row r="66" spans="1:3" x14ac:dyDescent="0.25">
      <c r="A66" s="3">
        <v>64</v>
      </c>
      <c r="B66" s="3">
        <v>20000</v>
      </c>
      <c r="C66" s="3">
        <v>100000</v>
      </c>
    </row>
    <row r="67" spans="1:3" x14ac:dyDescent="0.25">
      <c r="A67" s="3">
        <v>65</v>
      </c>
      <c r="B67" s="3">
        <v>0</v>
      </c>
      <c r="C67" s="3">
        <v>0</v>
      </c>
    </row>
    <row r="68" spans="1:3" x14ac:dyDescent="0.25">
      <c r="A68" s="3">
        <v>66</v>
      </c>
      <c r="B68" s="3">
        <v>1500</v>
      </c>
      <c r="C68" s="3">
        <v>55000</v>
      </c>
    </row>
    <row r="69" spans="1:3" x14ac:dyDescent="0.25">
      <c r="A69" s="3">
        <v>67</v>
      </c>
      <c r="B69" s="3">
        <v>1500</v>
      </c>
      <c r="C69" s="3">
        <v>4500</v>
      </c>
    </row>
    <row r="70" spans="1:3" x14ac:dyDescent="0.25">
      <c r="A70" s="3">
        <v>68</v>
      </c>
      <c r="B70" s="3">
        <v>2000</v>
      </c>
      <c r="C70" s="3">
        <v>4000</v>
      </c>
    </row>
    <row r="71" spans="1:3" x14ac:dyDescent="0.25">
      <c r="A71" s="3">
        <v>69</v>
      </c>
      <c r="B71" s="3">
        <v>200</v>
      </c>
      <c r="C71" s="3">
        <v>4000</v>
      </c>
    </row>
    <row r="72" spans="1:3" x14ac:dyDescent="0.25">
      <c r="A72" s="3">
        <v>70</v>
      </c>
      <c r="B72" s="3">
        <v>2000</v>
      </c>
      <c r="C72" s="3">
        <v>30000</v>
      </c>
    </row>
    <row r="73" spans="1:3" x14ac:dyDescent="0.25">
      <c r="A73" s="3">
        <v>71</v>
      </c>
      <c r="B73" s="3">
        <v>400</v>
      </c>
      <c r="C73" s="3">
        <v>18000</v>
      </c>
    </row>
    <row r="74" spans="1:3" x14ac:dyDescent="0.25">
      <c r="A74" s="3">
        <v>72</v>
      </c>
      <c r="B74" s="3">
        <v>3000</v>
      </c>
      <c r="C74" s="3">
        <v>190000</v>
      </c>
    </row>
    <row r="75" spans="1:3" x14ac:dyDescent="0.25">
      <c r="A75" s="3">
        <v>73</v>
      </c>
      <c r="B75" s="3">
        <v>9000</v>
      </c>
      <c r="C75" s="3">
        <v>270000</v>
      </c>
    </row>
    <row r="76" spans="1:3" x14ac:dyDescent="0.25">
      <c r="A76" s="3">
        <v>74</v>
      </c>
      <c r="B76" s="3">
        <v>5000</v>
      </c>
      <c r="C76" s="3">
        <v>150000</v>
      </c>
    </row>
    <row r="77" spans="1:3" x14ac:dyDescent="0.25">
      <c r="A77" s="3">
        <v>75</v>
      </c>
      <c r="B77" s="3">
        <v>0</v>
      </c>
      <c r="C77" s="3">
        <v>0</v>
      </c>
    </row>
    <row r="78" spans="1:3" x14ac:dyDescent="0.25">
      <c r="A78" s="3">
        <v>76</v>
      </c>
      <c r="B78" s="3">
        <v>4000</v>
      </c>
      <c r="C78" s="3">
        <v>40000</v>
      </c>
    </row>
    <row r="79" spans="1:3" x14ac:dyDescent="0.25">
      <c r="A79" s="3">
        <v>77</v>
      </c>
      <c r="B79" s="3">
        <v>3000</v>
      </c>
      <c r="C79" s="3">
        <v>20000</v>
      </c>
    </row>
    <row r="80" spans="1:3" x14ac:dyDescent="0.25">
      <c r="A80" s="3">
        <v>78</v>
      </c>
      <c r="B80" s="3">
        <v>7500</v>
      </c>
      <c r="C80" s="3">
        <v>25000</v>
      </c>
    </row>
    <row r="81" spans="1:3" x14ac:dyDescent="0.25">
      <c r="A81" s="3">
        <v>79</v>
      </c>
      <c r="B81" s="3">
        <v>5000</v>
      </c>
      <c r="C81" s="3">
        <v>20000</v>
      </c>
    </row>
    <row r="82" spans="1:3" x14ac:dyDescent="0.25">
      <c r="A82" s="3">
        <v>80</v>
      </c>
      <c r="B82" s="3">
        <v>3000</v>
      </c>
      <c r="C82" s="3">
        <v>20000</v>
      </c>
    </row>
    <row r="83" spans="1:3" x14ac:dyDescent="0.25">
      <c r="A83" s="3">
        <v>81</v>
      </c>
      <c r="B83" s="3">
        <v>5000</v>
      </c>
      <c r="C83" s="3">
        <v>18000</v>
      </c>
    </row>
    <row r="84" spans="1:3" x14ac:dyDescent="0.25">
      <c r="A84" s="3">
        <v>82</v>
      </c>
      <c r="B84" s="3">
        <v>2000</v>
      </c>
      <c r="C84" s="3">
        <v>16000</v>
      </c>
    </row>
    <row r="85" spans="1:3" x14ac:dyDescent="0.25">
      <c r="A85" s="3">
        <v>83</v>
      </c>
      <c r="B85" s="3">
        <v>5000</v>
      </c>
      <c r="C85" s="3">
        <v>25000</v>
      </c>
    </row>
    <row r="86" spans="1:3" x14ac:dyDescent="0.25">
      <c r="A86" s="3">
        <v>84</v>
      </c>
      <c r="B86" s="3">
        <v>4000</v>
      </c>
      <c r="C86" s="3">
        <v>27000</v>
      </c>
    </row>
    <row r="87" spans="1:3" x14ac:dyDescent="0.25">
      <c r="A87" s="3">
        <v>85</v>
      </c>
      <c r="B87" s="3">
        <v>3000</v>
      </c>
      <c r="C87" s="3">
        <v>16000</v>
      </c>
    </row>
    <row r="88" spans="1:3" x14ac:dyDescent="0.25">
      <c r="A88" s="3">
        <v>86</v>
      </c>
      <c r="B88" s="3">
        <v>2000</v>
      </c>
      <c r="C88" s="3">
        <v>20000</v>
      </c>
    </row>
    <row r="89" spans="1:3" x14ac:dyDescent="0.25">
      <c r="A89" s="3">
        <v>87</v>
      </c>
      <c r="B89" s="3">
        <v>3000</v>
      </c>
      <c r="C89" s="3">
        <v>35000</v>
      </c>
    </row>
    <row r="90" spans="1:3" x14ac:dyDescent="0.25">
      <c r="A90" s="3">
        <v>88</v>
      </c>
      <c r="B90" s="3">
        <v>5000</v>
      </c>
      <c r="C90" s="3">
        <v>40000</v>
      </c>
    </row>
    <row r="91" spans="1:3" x14ac:dyDescent="0.25">
      <c r="A91" s="3">
        <v>89</v>
      </c>
      <c r="B91" s="3">
        <v>3000</v>
      </c>
      <c r="C91" s="3">
        <v>50000</v>
      </c>
    </row>
    <row r="92" spans="1:3" x14ac:dyDescent="0.25">
      <c r="A92" s="3">
        <v>90</v>
      </c>
      <c r="B92" s="3">
        <v>1500</v>
      </c>
      <c r="C92" s="3">
        <v>15000</v>
      </c>
    </row>
    <row r="93" spans="1:3" x14ac:dyDescent="0.25">
      <c r="A93" s="3">
        <v>91</v>
      </c>
      <c r="B93" s="3">
        <v>1500</v>
      </c>
      <c r="C93" s="3">
        <v>15000</v>
      </c>
    </row>
    <row r="94" spans="1:3" x14ac:dyDescent="0.25">
      <c r="A94" s="3">
        <v>92</v>
      </c>
      <c r="B94" s="3">
        <v>1500</v>
      </c>
      <c r="C94" s="3">
        <v>15000</v>
      </c>
    </row>
    <row r="95" spans="1:3" x14ac:dyDescent="0.25">
      <c r="A95" s="3">
        <v>93</v>
      </c>
      <c r="B95" s="3">
        <v>1500</v>
      </c>
      <c r="C95" s="3">
        <v>40000</v>
      </c>
    </row>
    <row r="96" spans="1:3" x14ac:dyDescent="0.25">
      <c r="A96" s="3">
        <v>94</v>
      </c>
      <c r="B96" s="3">
        <v>3000</v>
      </c>
      <c r="C96" s="3">
        <v>45000</v>
      </c>
    </row>
    <row r="97" spans="1:3" x14ac:dyDescent="0.25">
      <c r="A97" s="3">
        <v>95</v>
      </c>
      <c r="B97" s="3">
        <v>2000</v>
      </c>
      <c r="C97" s="3">
        <v>8000</v>
      </c>
    </row>
    <row r="98" spans="1:3" x14ac:dyDescent="0.25">
      <c r="A98" s="3">
        <v>96</v>
      </c>
      <c r="B98" s="3">
        <v>2000</v>
      </c>
      <c r="C98" s="3">
        <v>25000</v>
      </c>
    </row>
    <row r="99" spans="1:3" x14ac:dyDescent="0.25">
      <c r="A99" s="3">
        <v>97</v>
      </c>
      <c r="B99" s="3">
        <v>2000</v>
      </c>
      <c r="C99" s="3">
        <v>40000</v>
      </c>
    </row>
    <row r="100" spans="1:3" x14ac:dyDescent="0.25">
      <c r="A100" s="3">
        <v>98</v>
      </c>
      <c r="B100" s="3">
        <v>2500</v>
      </c>
      <c r="C100" s="3">
        <v>51000</v>
      </c>
    </row>
    <row r="101" spans="1:3" x14ac:dyDescent="0.25">
      <c r="A101" s="3">
        <v>99</v>
      </c>
      <c r="B101" s="3">
        <v>2000</v>
      </c>
      <c r="C101" s="3">
        <v>41000</v>
      </c>
    </row>
    <row r="102" spans="1:3" x14ac:dyDescent="0.25">
      <c r="A102" s="3">
        <v>100</v>
      </c>
      <c r="B102" s="3">
        <v>15000</v>
      </c>
      <c r="C102" s="3">
        <v>800000</v>
      </c>
    </row>
    <row r="103" spans="1:3" x14ac:dyDescent="0.25">
      <c r="A103" s="3">
        <v>101</v>
      </c>
      <c r="B103" s="3">
        <v>2000</v>
      </c>
      <c r="C103" s="3">
        <v>100000</v>
      </c>
    </row>
    <row r="104" spans="1:3" x14ac:dyDescent="0.25">
      <c r="A104" s="3">
        <v>102</v>
      </c>
      <c r="B104" s="3">
        <v>0</v>
      </c>
      <c r="C104" s="3">
        <v>0</v>
      </c>
    </row>
    <row r="105" spans="1:3" x14ac:dyDescent="0.25">
      <c r="A105" s="3">
        <v>103</v>
      </c>
      <c r="B105" s="3">
        <v>8000</v>
      </c>
      <c r="C105" s="3">
        <v>400000</v>
      </c>
    </row>
    <row r="106" spans="1:3" x14ac:dyDescent="0.25">
      <c r="A106" s="3">
        <v>104</v>
      </c>
      <c r="B106" s="3">
        <v>10000</v>
      </c>
      <c r="C106" s="3">
        <v>20000</v>
      </c>
    </row>
    <row r="107" spans="1:3" x14ac:dyDescent="0.25">
      <c r="A107" s="3">
        <v>105</v>
      </c>
      <c r="B107" s="3">
        <v>23000</v>
      </c>
      <c r="C107" s="3">
        <v>35000</v>
      </c>
    </row>
    <row r="108" spans="1:3" x14ac:dyDescent="0.25">
      <c r="A108" s="3">
        <v>106</v>
      </c>
      <c r="B108" s="3">
        <v>6000</v>
      </c>
      <c r="C108" s="3">
        <v>30000</v>
      </c>
    </row>
    <row r="109" spans="1:3" x14ac:dyDescent="0.25">
      <c r="A109" s="3">
        <v>107</v>
      </c>
      <c r="B109" s="3">
        <v>7000</v>
      </c>
      <c r="C109" s="3">
        <v>18000</v>
      </c>
    </row>
    <row r="110" spans="1:3" x14ac:dyDescent="0.25">
      <c r="A110" s="3">
        <v>108</v>
      </c>
      <c r="B110" s="3">
        <v>8000</v>
      </c>
      <c r="C110" s="3">
        <v>14000</v>
      </c>
    </row>
    <row r="111" spans="1:3" x14ac:dyDescent="0.25">
      <c r="A111" s="3">
        <v>109</v>
      </c>
      <c r="B111" s="3">
        <v>8000</v>
      </c>
      <c r="C111" s="3">
        <v>14000</v>
      </c>
    </row>
    <row r="112" spans="1:3" x14ac:dyDescent="0.25">
      <c r="A112" s="3">
        <v>110</v>
      </c>
      <c r="B112" s="3">
        <v>0</v>
      </c>
      <c r="C112" s="3">
        <v>0</v>
      </c>
    </row>
    <row r="113" spans="1:3" x14ac:dyDescent="0.25">
      <c r="A113" s="3">
        <v>111</v>
      </c>
      <c r="B113" s="3">
        <v>10000</v>
      </c>
      <c r="C113" s="3">
        <v>25000</v>
      </c>
    </row>
    <row r="114" spans="1:3" x14ac:dyDescent="0.25">
      <c r="A114" s="3">
        <v>112</v>
      </c>
      <c r="B114" s="3">
        <v>15000</v>
      </c>
      <c r="C114" s="3">
        <v>41000</v>
      </c>
    </row>
    <row r="115" spans="1:3" x14ac:dyDescent="0.25">
      <c r="A115" s="3">
        <v>113</v>
      </c>
      <c r="B115" s="3">
        <v>10000</v>
      </c>
      <c r="C115" s="3">
        <v>60000</v>
      </c>
    </row>
    <row r="116" spans="1:3" x14ac:dyDescent="0.25">
      <c r="A116" s="3">
        <v>114</v>
      </c>
      <c r="B116" s="3">
        <v>5000</v>
      </c>
      <c r="C116" s="3">
        <v>35000</v>
      </c>
    </row>
    <row r="117" spans="1:3" x14ac:dyDescent="0.25">
      <c r="A117" s="3">
        <v>115</v>
      </c>
      <c r="B117" s="3">
        <v>20000</v>
      </c>
      <c r="C117" s="3">
        <v>60000</v>
      </c>
    </row>
    <row r="118" spans="1:3" x14ac:dyDescent="0.25">
      <c r="A118" s="3">
        <v>116</v>
      </c>
      <c r="B118" s="3">
        <v>6000</v>
      </c>
      <c r="C118" s="3">
        <v>60000</v>
      </c>
    </row>
    <row r="119" spans="1:3" x14ac:dyDescent="0.25">
      <c r="A119" s="3">
        <v>117</v>
      </c>
      <c r="B119" s="3">
        <v>5000</v>
      </c>
      <c r="C119" s="3">
        <v>30000</v>
      </c>
    </row>
    <row r="120" spans="1:3" x14ac:dyDescent="0.25">
      <c r="A120" s="3">
        <v>118</v>
      </c>
      <c r="B120" s="3">
        <v>3000</v>
      </c>
      <c r="C120" s="3">
        <v>50000</v>
      </c>
    </row>
    <row r="121" spans="1:3" x14ac:dyDescent="0.25">
      <c r="A121" s="3">
        <v>119</v>
      </c>
      <c r="B121" s="3">
        <v>3000</v>
      </c>
      <c r="C121" s="3">
        <v>20000</v>
      </c>
    </row>
    <row r="122" spans="1:3" x14ac:dyDescent="0.25">
      <c r="A122" s="3">
        <v>120</v>
      </c>
      <c r="B122" s="3">
        <v>3000</v>
      </c>
      <c r="C122" s="3">
        <v>15000</v>
      </c>
    </row>
    <row r="123" spans="1:3" x14ac:dyDescent="0.25">
      <c r="A123" s="3">
        <v>121</v>
      </c>
      <c r="B123" s="3">
        <v>2000</v>
      </c>
      <c r="C123" s="3">
        <v>25000</v>
      </c>
    </row>
    <row r="124" spans="1:3" x14ac:dyDescent="0.25">
      <c r="A124" s="3">
        <v>122</v>
      </c>
      <c r="B124" s="3">
        <v>5000</v>
      </c>
      <c r="C124" s="3">
        <v>10000</v>
      </c>
    </row>
    <row r="125" spans="1:3" x14ac:dyDescent="0.25">
      <c r="A125" s="3">
        <v>123</v>
      </c>
      <c r="B125" s="3">
        <v>5000</v>
      </c>
      <c r="C125" s="3">
        <v>40000</v>
      </c>
    </row>
    <row r="126" spans="1:3" x14ac:dyDescent="0.25">
      <c r="A126" s="3">
        <v>124</v>
      </c>
      <c r="B126" s="3">
        <v>8000</v>
      </c>
      <c r="C126" s="3">
        <v>30000</v>
      </c>
    </row>
    <row r="127" spans="1:3" x14ac:dyDescent="0.25">
      <c r="A127" s="3">
        <v>125</v>
      </c>
      <c r="B127" s="3">
        <v>5000</v>
      </c>
      <c r="C127" s="3">
        <v>30000</v>
      </c>
    </row>
    <row r="128" spans="1:3" x14ac:dyDescent="0.25">
      <c r="A128" s="3">
        <v>126</v>
      </c>
      <c r="B128" s="3">
        <v>0</v>
      </c>
      <c r="C128" s="3">
        <v>0</v>
      </c>
    </row>
    <row r="129" spans="1:3" x14ac:dyDescent="0.25">
      <c r="A129" s="3">
        <v>127</v>
      </c>
      <c r="B129" s="3">
        <v>9000</v>
      </c>
      <c r="C129" s="3">
        <v>25000</v>
      </c>
    </row>
    <row r="130" spans="1:3" x14ac:dyDescent="0.25">
      <c r="A130" s="3">
        <v>128</v>
      </c>
      <c r="B130" s="3">
        <v>13000</v>
      </c>
      <c r="C130" s="3">
        <v>80000</v>
      </c>
    </row>
    <row r="131" spans="1:3" x14ac:dyDescent="0.25">
      <c r="A131" s="3">
        <v>129</v>
      </c>
      <c r="B131" s="3">
        <v>500</v>
      </c>
      <c r="C131" s="3">
        <v>13000</v>
      </c>
    </row>
    <row r="132" spans="1:3" x14ac:dyDescent="0.25">
      <c r="A132" s="3">
        <v>130</v>
      </c>
      <c r="B132" s="3">
        <v>1350</v>
      </c>
      <c r="C132" s="3">
        <v>17000</v>
      </c>
    </row>
    <row r="133" spans="1:3" x14ac:dyDescent="0.25">
      <c r="A133" s="3">
        <v>131</v>
      </c>
      <c r="B133" s="3">
        <v>0</v>
      </c>
      <c r="C133" s="3">
        <v>0</v>
      </c>
    </row>
    <row r="134" spans="1:3" x14ac:dyDescent="0.25">
      <c r="A134" s="3">
        <v>132</v>
      </c>
      <c r="B134" s="3">
        <v>1200</v>
      </c>
      <c r="C134" s="3">
        <v>15000</v>
      </c>
    </row>
    <row r="135" spans="1:3" x14ac:dyDescent="0.25">
      <c r="A135" s="3">
        <v>133</v>
      </c>
      <c r="B135" s="3">
        <v>700</v>
      </c>
      <c r="C135" s="3">
        <v>22000</v>
      </c>
    </row>
    <row r="136" spans="1:3" x14ac:dyDescent="0.25">
      <c r="A136" s="3">
        <v>134</v>
      </c>
      <c r="B136" s="3">
        <v>200</v>
      </c>
      <c r="C136" s="3">
        <v>12000</v>
      </c>
    </row>
    <row r="137" spans="1:3" x14ac:dyDescent="0.25">
      <c r="A137" s="3">
        <v>135</v>
      </c>
      <c r="B137" s="3">
        <v>100</v>
      </c>
      <c r="C137" s="3">
        <v>3000</v>
      </c>
    </row>
    <row r="138" spans="1:3" x14ac:dyDescent="0.25">
      <c r="A138" s="3">
        <v>136</v>
      </c>
      <c r="B138" s="3">
        <v>200</v>
      </c>
      <c r="C138" s="3">
        <v>25000</v>
      </c>
    </row>
    <row r="139" spans="1:3" x14ac:dyDescent="0.25">
      <c r="A139" s="3">
        <v>137</v>
      </c>
      <c r="B139" s="3">
        <v>500</v>
      </c>
      <c r="C139" s="3">
        <v>22000</v>
      </c>
    </row>
    <row r="140" spans="1:3" x14ac:dyDescent="0.25">
      <c r="A140" s="3">
        <v>138</v>
      </c>
      <c r="B140" s="3">
        <v>350</v>
      </c>
      <c r="C140" s="3">
        <v>9000</v>
      </c>
    </row>
    <row r="141" spans="1:3" x14ac:dyDescent="0.25">
      <c r="A141" s="3">
        <v>139</v>
      </c>
      <c r="B141" s="3">
        <v>0</v>
      </c>
      <c r="C141" s="3">
        <v>0</v>
      </c>
    </row>
    <row r="142" spans="1:3" x14ac:dyDescent="0.25">
      <c r="A142" s="3">
        <v>140</v>
      </c>
      <c r="B142" s="3">
        <v>10</v>
      </c>
      <c r="C142" s="3">
        <v>1000</v>
      </c>
    </row>
    <row r="143" spans="1:3" x14ac:dyDescent="0.25">
      <c r="A143" s="3">
        <v>141</v>
      </c>
      <c r="B143" s="3">
        <v>35</v>
      </c>
      <c r="C143" s="3">
        <v>700</v>
      </c>
    </row>
    <row r="144" spans="1:3" x14ac:dyDescent="0.25">
      <c r="A144" s="3">
        <v>142</v>
      </c>
      <c r="B144" s="3">
        <v>10</v>
      </c>
      <c r="C144" s="3">
        <v>700</v>
      </c>
    </row>
    <row r="145" spans="1:3" x14ac:dyDescent="0.25">
      <c r="A145" s="3">
        <v>143</v>
      </c>
      <c r="B145" s="3">
        <v>60</v>
      </c>
      <c r="C145" s="3">
        <v>444</v>
      </c>
    </row>
    <row r="146" spans="1:3" x14ac:dyDescent="0.25">
      <c r="A146" s="3">
        <v>144</v>
      </c>
      <c r="B146" s="3">
        <v>15</v>
      </c>
      <c r="C146" s="3">
        <v>250</v>
      </c>
    </row>
    <row r="147" spans="1:3" x14ac:dyDescent="0.25">
      <c r="A147" s="3">
        <v>145</v>
      </c>
      <c r="B147" s="3">
        <v>10</v>
      </c>
      <c r="C147" s="3">
        <v>190</v>
      </c>
    </row>
    <row r="148" spans="1:3" x14ac:dyDescent="0.25">
      <c r="A148" s="3">
        <v>146</v>
      </c>
      <c r="B148" s="3">
        <v>20</v>
      </c>
      <c r="C148" s="3">
        <v>7000</v>
      </c>
    </row>
    <row r="149" spans="1:3" x14ac:dyDescent="0.25">
      <c r="A149" s="3">
        <v>147</v>
      </c>
      <c r="B149" s="3">
        <v>25</v>
      </c>
      <c r="C149" s="3">
        <v>1000</v>
      </c>
    </row>
    <row r="150" spans="1:3" x14ac:dyDescent="0.25">
      <c r="A150" s="3">
        <v>148</v>
      </c>
      <c r="B150" s="3">
        <v>1000</v>
      </c>
      <c r="C150" s="3">
        <v>7000</v>
      </c>
    </row>
    <row r="151" spans="1:3" x14ac:dyDescent="0.25">
      <c r="A151" s="3">
        <v>149</v>
      </c>
      <c r="B151" s="3">
        <v>25</v>
      </c>
      <c r="C151" s="3">
        <v>100</v>
      </c>
    </row>
    <row r="152" spans="1:3" x14ac:dyDescent="0.25">
      <c r="A152" s="3">
        <v>150</v>
      </c>
      <c r="B152" s="3">
        <v>2500</v>
      </c>
      <c r="C152" s="3">
        <v>9000</v>
      </c>
    </row>
    <row r="153" spans="1:3" x14ac:dyDescent="0.25">
      <c r="A153" s="3">
        <v>151</v>
      </c>
      <c r="B153" s="3">
        <v>50</v>
      </c>
      <c r="C153" s="3">
        <v>9000</v>
      </c>
    </row>
    <row r="154" spans="1:3" x14ac:dyDescent="0.25">
      <c r="A154" s="3">
        <v>152</v>
      </c>
      <c r="B154" s="3">
        <v>50</v>
      </c>
      <c r="C154" s="3">
        <v>9000</v>
      </c>
    </row>
    <row r="155" spans="1:3" x14ac:dyDescent="0.25">
      <c r="A155" s="3">
        <v>153</v>
      </c>
      <c r="B155" s="3">
        <v>20</v>
      </c>
      <c r="C155" s="3">
        <v>9000</v>
      </c>
    </row>
    <row r="156" spans="1:3" x14ac:dyDescent="0.25">
      <c r="A156" s="3">
        <v>154</v>
      </c>
      <c r="B156" s="3">
        <v>0</v>
      </c>
      <c r="C156" s="3">
        <v>0</v>
      </c>
    </row>
    <row r="157" spans="1:3" x14ac:dyDescent="0.25">
      <c r="A157" s="3">
        <v>155</v>
      </c>
      <c r="B157" s="3">
        <v>20</v>
      </c>
      <c r="C157" s="3">
        <v>21000</v>
      </c>
    </row>
    <row r="158" spans="1:3" x14ac:dyDescent="0.25">
      <c r="A158" s="3">
        <v>156</v>
      </c>
      <c r="B158" s="3">
        <v>1000</v>
      </c>
      <c r="C158" s="3">
        <v>16000</v>
      </c>
    </row>
    <row r="159" spans="1:3" x14ac:dyDescent="0.25">
      <c r="A159" s="3">
        <v>157</v>
      </c>
      <c r="B159" s="3">
        <v>1500</v>
      </c>
      <c r="C159" s="3">
        <v>28000</v>
      </c>
    </row>
    <row r="160" spans="1:3" x14ac:dyDescent="0.25">
      <c r="A160" s="3">
        <v>158</v>
      </c>
      <c r="B160" s="3">
        <v>1000</v>
      </c>
      <c r="C160" s="3">
        <v>10000</v>
      </c>
    </row>
    <row r="161" spans="1:3" x14ac:dyDescent="0.25">
      <c r="A161" s="3">
        <v>159</v>
      </c>
      <c r="B161" s="3">
        <v>0</v>
      </c>
      <c r="C161" s="3">
        <v>0</v>
      </c>
    </row>
    <row r="162" spans="1:3" x14ac:dyDescent="0.25">
      <c r="A162" s="3">
        <v>160</v>
      </c>
      <c r="B162" s="3">
        <v>1000</v>
      </c>
      <c r="C162" s="3">
        <v>15000</v>
      </c>
    </row>
    <row r="163" spans="1:3" x14ac:dyDescent="0.25">
      <c r="A163" s="3">
        <v>161</v>
      </c>
      <c r="B163" s="3">
        <v>1000</v>
      </c>
      <c r="C163" s="3">
        <v>15000</v>
      </c>
    </row>
    <row r="164" spans="1:3" x14ac:dyDescent="0.25">
      <c r="A164" s="3">
        <v>162</v>
      </c>
      <c r="B164" s="3">
        <v>1000</v>
      </c>
      <c r="C164" s="3">
        <v>15000</v>
      </c>
    </row>
    <row r="165" spans="1:3" x14ac:dyDescent="0.25">
      <c r="A165" s="3">
        <v>163</v>
      </c>
      <c r="B165" s="3">
        <v>1000</v>
      </c>
      <c r="C165" s="3">
        <v>5000</v>
      </c>
    </row>
    <row r="166" spans="1:3" x14ac:dyDescent="0.25">
      <c r="A166" s="3">
        <v>164</v>
      </c>
      <c r="B166" s="3">
        <v>500</v>
      </c>
      <c r="C166" s="3">
        <v>5000</v>
      </c>
    </row>
    <row r="167" spans="1:3" x14ac:dyDescent="0.25">
      <c r="A167" s="3">
        <v>165</v>
      </c>
      <c r="B167" s="3">
        <v>500</v>
      </c>
      <c r="C167" s="3">
        <v>10000</v>
      </c>
    </row>
    <row r="168" spans="1:3" x14ac:dyDescent="0.25">
      <c r="A168" s="3">
        <v>166</v>
      </c>
      <c r="B168" s="3">
        <v>1000</v>
      </c>
      <c r="C168" s="3">
        <v>12000</v>
      </c>
    </row>
    <row r="169" spans="1:3" x14ac:dyDescent="0.25">
      <c r="A169" s="3">
        <v>167</v>
      </c>
      <c r="B169" s="3">
        <v>1000</v>
      </c>
      <c r="C169" s="3">
        <v>17000</v>
      </c>
    </row>
    <row r="170" spans="1:3" x14ac:dyDescent="0.25">
      <c r="A170" s="3">
        <v>168</v>
      </c>
      <c r="B170" s="3">
        <v>2000</v>
      </c>
      <c r="C170" s="3">
        <v>20000</v>
      </c>
    </row>
    <row r="171" spans="1:3" x14ac:dyDescent="0.25">
      <c r="A171" s="3">
        <v>169</v>
      </c>
      <c r="B171" s="3">
        <v>3000</v>
      </c>
      <c r="C171" s="3">
        <v>20000</v>
      </c>
    </row>
    <row r="172" spans="1:3" x14ac:dyDescent="0.25">
      <c r="A172" s="3">
        <v>170</v>
      </c>
      <c r="B172" s="3">
        <v>2000</v>
      </c>
      <c r="C172" s="3">
        <v>15000</v>
      </c>
    </row>
    <row r="173" spans="1:3" x14ac:dyDescent="0.25">
      <c r="A173" s="3">
        <v>171</v>
      </c>
      <c r="B173" s="3">
        <v>2000</v>
      </c>
      <c r="C173" s="3">
        <v>20000</v>
      </c>
    </row>
    <row r="174" spans="1:3" x14ac:dyDescent="0.25">
      <c r="A174" s="3">
        <v>172</v>
      </c>
      <c r="B174" s="3">
        <v>3000</v>
      </c>
      <c r="C174" s="3">
        <v>20000</v>
      </c>
    </row>
    <row r="175" spans="1:3" x14ac:dyDescent="0.25">
      <c r="A175" s="3">
        <v>173</v>
      </c>
      <c r="B175" s="3">
        <v>2000</v>
      </c>
      <c r="C175" s="3">
        <v>15000</v>
      </c>
    </row>
    <row r="176" spans="1:3" x14ac:dyDescent="0.25">
      <c r="A176" s="3">
        <v>174</v>
      </c>
      <c r="B176" s="3">
        <v>2000</v>
      </c>
      <c r="C176" s="3">
        <v>31000</v>
      </c>
    </row>
    <row r="177" spans="1:3" x14ac:dyDescent="0.25">
      <c r="A177" s="3">
        <v>175</v>
      </c>
      <c r="B177" s="3">
        <v>2000</v>
      </c>
      <c r="C177" s="3">
        <v>20000</v>
      </c>
    </row>
    <row r="178" spans="1:3" x14ac:dyDescent="0.25">
      <c r="A178" s="3">
        <v>176</v>
      </c>
      <c r="B178" s="3">
        <v>2000</v>
      </c>
      <c r="C178" s="3">
        <v>10000</v>
      </c>
    </row>
    <row r="179" spans="1:3" x14ac:dyDescent="0.25">
      <c r="A179" s="3">
        <v>177</v>
      </c>
      <c r="B179" s="3">
        <v>500</v>
      </c>
      <c r="C179" s="3">
        <v>20000</v>
      </c>
    </row>
    <row r="180" spans="1:3" x14ac:dyDescent="0.25">
      <c r="A180" s="3">
        <v>178</v>
      </c>
      <c r="B180" s="3">
        <v>2000</v>
      </c>
      <c r="C180" s="3">
        <v>35000</v>
      </c>
    </row>
    <row r="181" spans="1:3" x14ac:dyDescent="0.25">
      <c r="A181" s="3">
        <v>179</v>
      </c>
      <c r="B181" s="3">
        <v>500</v>
      </c>
      <c r="C181" s="3">
        <v>35000</v>
      </c>
    </row>
    <row r="182" spans="1:3" x14ac:dyDescent="0.25">
      <c r="A182" s="3">
        <v>180</v>
      </c>
      <c r="B182" s="3">
        <v>500</v>
      </c>
      <c r="C182" s="3">
        <v>20000</v>
      </c>
    </row>
    <row r="183" spans="1:3" x14ac:dyDescent="0.25">
      <c r="A183" s="3">
        <v>181</v>
      </c>
      <c r="B183" s="3">
        <v>3000</v>
      </c>
      <c r="C183" s="3">
        <v>15000</v>
      </c>
    </row>
    <row r="184" spans="1:3" x14ac:dyDescent="0.25">
      <c r="A184" s="3">
        <v>182</v>
      </c>
      <c r="B184" s="3">
        <v>500</v>
      </c>
      <c r="C184" s="3">
        <v>18000</v>
      </c>
    </row>
    <row r="185" spans="1:3" x14ac:dyDescent="0.25">
      <c r="A185" s="3">
        <v>183</v>
      </c>
      <c r="B185" s="3">
        <v>500</v>
      </c>
      <c r="C185" s="3">
        <v>10000</v>
      </c>
    </row>
    <row r="186" spans="1:3" x14ac:dyDescent="0.25">
      <c r="A186" s="3">
        <v>184</v>
      </c>
      <c r="B186" s="3">
        <v>500</v>
      </c>
      <c r="C186" s="3">
        <v>25000</v>
      </c>
    </row>
    <row r="187" spans="1:3" x14ac:dyDescent="0.25">
      <c r="A187" s="3">
        <v>185</v>
      </c>
      <c r="B187" s="3">
        <v>2000</v>
      </c>
      <c r="C187" s="3">
        <v>50000</v>
      </c>
    </row>
    <row r="188" spans="1:3" x14ac:dyDescent="0.25">
      <c r="A188" s="3">
        <v>186</v>
      </c>
      <c r="B188" s="3">
        <v>1000</v>
      </c>
      <c r="C188" s="3">
        <v>20000</v>
      </c>
    </row>
    <row r="189" spans="1:3" x14ac:dyDescent="0.25">
      <c r="A189" s="3">
        <v>187</v>
      </c>
      <c r="B189" s="3">
        <v>1000</v>
      </c>
      <c r="C189" s="3">
        <v>15000</v>
      </c>
    </row>
    <row r="190" spans="1:3" x14ac:dyDescent="0.25">
      <c r="A190" s="3">
        <v>188</v>
      </c>
      <c r="B190" s="3">
        <v>1000</v>
      </c>
      <c r="C190" s="3">
        <v>15000</v>
      </c>
    </row>
    <row r="191" spans="1:3" x14ac:dyDescent="0.25">
      <c r="A191" s="3">
        <v>189</v>
      </c>
      <c r="B191" s="3">
        <v>1000</v>
      </c>
      <c r="C191" s="3">
        <v>20000</v>
      </c>
    </row>
    <row r="192" spans="1:3" x14ac:dyDescent="0.25">
      <c r="A192" s="3">
        <v>190</v>
      </c>
      <c r="B192" s="3">
        <v>500</v>
      </c>
      <c r="C192" s="3">
        <v>20000</v>
      </c>
    </row>
    <row r="193" spans="1:3" x14ac:dyDescent="0.25">
      <c r="A193" s="3">
        <v>191</v>
      </c>
      <c r="B193" s="3">
        <v>5000</v>
      </c>
      <c r="C193" s="3">
        <v>8000</v>
      </c>
    </row>
    <row r="194" spans="1:3" x14ac:dyDescent="0.25">
      <c r="A194" s="3">
        <v>192</v>
      </c>
      <c r="B194" s="3">
        <v>0</v>
      </c>
      <c r="C194" s="3">
        <v>0</v>
      </c>
    </row>
    <row r="195" spans="1:3" x14ac:dyDescent="0.25">
      <c r="A195" s="3">
        <v>193</v>
      </c>
      <c r="B195" s="3">
        <v>300</v>
      </c>
      <c r="C195" s="3">
        <v>5000</v>
      </c>
    </row>
    <row r="196" spans="1:3" x14ac:dyDescent="0.25">
      <c r="A196" s="3">
        <v>194</v>
      </c>
      <c r="B196" s="3">
        <v>200</v>
      </c>
      <c r="C196" s="3">
        <v>3000</v>
      </c>
    </row>
    <row r="197" spans="1:3" x14ac:dyDescent="0.25">
      <c r="A197" s="3">
        <v>195</v>
      </c>
      <c r="B197" s="3">
        <v>500</v>
      </c>
      <c r="C197" s="3">
        <v>4000</v>
      </c>
    </row>
    <row r="198" spans="1:3" x14ac:dyDescent="0.25">
      <c r="A198" s="3">
        <v>196</v>
      </c>
      <c r="B198" s="3">
        <v>1000</v>
      </c>
      <c r="C198" s="3">
        <v>70000</v>
      </c>
    </row>
    <row r="199" spans="1:3" x14ac:dyDescent="0.25">
      <c r="A199" s="3">
        <v>197</v>
      </c>
      <c r="B199" s="3">
        <v>1500</v>
      </c>
      <c r="C199" s="3">
        <v>200000</v>
      </c>
    </row>
    <row r="200" spans="1:3" x14ac:dyDescent="0.25">
      <c r="A200" s="3">
        <v>201</v>
      </c>
      <c r="B200" s="3">
        <v>100000</v>
      </c>
      <c r="C200" s="3">
        <v>900000</v>
      </c>
    </row>
    <row r="201" spans="1:3" x14ac:dyDescent="0.25">
      <c r="A201" s="3">
        <v>202</v>
      </c>
      <c r="B201" s="3">
        <v>50000</v>
      </c>
      <c r="C201" s="3">
        <v>900000</v>
      </c>
    </row>
    <row r="202" spans="1:3" x14ac:dyDescent="0.25">
      <c r="A202" s="3">
        <v>206</v>
      </c>
      <c r="B202" s="3">
        <v>40</v>
      </c>
      <c r="C202" s="3">
        <v>200000</v>
      </c>
    </row>
    <row r="203" spans="1:3" x14ac:dyDescent="0.25">
      <c r="A203" s="3">
        <v>208</v>
      </c>
      <c r="B203" s="3">
        <v>1000</v>
      </c>
      <c r="C203" s="3">
        <v>40000</v>
      </c>
    </row>
    <row r="204" spans="1:3" x14ac:dyDescent="0.25">
      <c r="A204" s="3">
        <v>216</v>
      </c>
      <c r="B204" s="3">
        <v>10000</v>
      </c>
      <c r="C204" s="3">
        <v>17500</v>
      </c>
    </row>
    <row r="205" spans="1:3" x14ac:dyDescent="0.25">
      <c r="A205" s="3">
        <v>218</v>
      </c>
      <c r="B205" s="3">
        <v>6500</v>
      </c>
      <c r="C205" s="3">
        <v>20000</v>
      </c>
    </row>
    <row r="206" spans="1:3" x14ac:dyDescent="0.25">
      <c r="A206" s="3">
        <v>222</v>
      </c>
      <c r="B206" s="3">
        <v>25000</v>
      </c>
      <c r="C206" s="3">
        <v>100000</v>
      </c>
    </row>
    <row r="207" spans="1:3" x14ac:dyDescent="0.25">
      <c r="A207" s="3">
        <v>225</v>
      </c>
      <c r="B207" s="3">
        <v>2500</v>
      </c>
      <c r="C207" s="3">
        <v>28000</v>
      </c>
    </row>
    <row r="208" spans="1:3" x14ac:dyDescent="0.25">
      <c r="A208" s="3">
        <v>227</v>
      </c>
      <c r="B208" s="3">
        <v>0</v>
      </c>
      <c r="C208" s="3">
        <v>0</v>
      </c>
    </row>
    <row r="209" spans="1:3" x14ac:dyDescent="0.25">
      <c r="A209" s="3">
        <v>229</v>
      </c>
      <c r="B209" s="3">
        <v>15000</v>
      </c>
      <c r="C209" s="3">
        <v>30000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IPDS PC</cp:lastModifiedBy>
  <dcterms:created xsi:type="dcterms:W3CDTF">2021-03-08T05:39:11Z</dcterms:created>
  <dcterms:modified xsi:type="dcterms:W3CDTF">2025-02-12T07:13:21Z</dcterms:modified>
</cp:coreProperties>
</file>